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xiang/Documents/PROJECT/Marketing/Customer Segmentation/"/>
    </mc:Choice>
  </mc:AlternateContent>
  <xr:revisionPtr revIDLastSave="0" documentId="13_ncr:1_{0209A6AE-8B96-5D4C-992A-C4985A3C865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ivot Table Summary" sheetId="3" r:id="rId1"/>
    <sheet name="Segment_Customer" sheetId="2" r:id="rId2"/>
  </sheets>
  <definedNames>
    <definedName name="_xlnm._FilterDatabase" localSheetId="1" hidden="1">Segment_Customer!$A$1:$N$201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K2" i="2" s="1"/>
  <c r="K4" i="2"/>
  <c r="N4" i="2"/>
  <c r="K5" i="2"/>
  <c r="K118" i="2"/>
  <c r="K142" i="2"/>
  <c r="K150" i="2"/>
  <c r="K158" i="2"/>
  <c r="K166" i="2"/>
  <c r="K174" i="2"/>
  <c r="K182" i="2"/>
  <c r="K190" i="2"/>
  <c r="K198" i="2"/>
  <c r="K187" i="2" l="1"/>
  <c r="K199" i="2"/>
  <c r="K191" i="2"/>
  <c r="K183" i="2"/>
  <c r="K175" i="2"/>
  <c r="K167" i="2"/>
  <c r="K159" i="2"/>
  <c r="K151" i="2"/>
  <c r="K143" i="2"/>
  <c r="K135" i="2"/>
  <c r="K127" i="2"/>
  <c r="K119" i="2"/>
  <c r="K111" i="2"/>
  <c r="K103" i="2"/>
  <c r="K95" i="2"/>
  <c r="K87" i="2"/>
  <c r="K79" i="2"/>
  <c r="K71" i="2"/>
  <c r="K63" i="2"/>
  <c r="K55" i="2"/>
  <c r="K47" i="2"/>
  <c r="K39" i="2"/>
  <c r="K31" i="2"/>
  <c r="K23" i="2"/>
  <c r="K15" i="2"/>
  <c r="K7" i="2"/>
  <c r="K134" i="2"/>
  <c r="K126" i="2"/>
  <c r="K102" i="2"/>
  <c r="K86" i="2"/>
  <c r="K70" i="2"/>
  <c r="K54" i="2"/>
  <c r="K38" i="2"/>
  <c r="K22" i="2"/>
  <c r="K14" i="2"/>
  <c r="K197" i="2"/>
  <c r="K181" i="2"/>
  <c r="K165" i="2"/>
  <c r="K141" i="2"/>
  <c r="K125" i="2"/>
  <c r="K109" i="2"/>
  <c r="K93" i="2"/>
  <c r="K77" i="2"/>
  <c r="K61" i="2"/>
  <c r="K45" i="2"/>
  <c r="K29" i="2"/>
  <c r="K13" i="2"/>
  <c r="K188" i="2"/>
  <c r="K172" i="2"/>
  <c r="K156" i="2"/>
  <c r="K140" i="2"/>
  <c r="K124" i="2"/>
  <c r="K108" i="2"/>
  <c r="K92" i="2"/>
  <c r="K76" i="2"/>
  <c r="K60" i="2"/>
  <c r="K44" i="2"/>
  <c r="K28" i="2"/>
  <c r="K20" i="2"/>
  <c r="K195" i="2"/>
  <c r="K171" i="2"/>
  <c r="K155" i="2"/>
  <c r="K139" i="2"/>
  <c r="K123" i="2"/>
  <c r="K107" i="2"/>
  <c r="K91" i="2"/>
  <c r="K67" i="2"/>
  <c r="K51" i="2"/>
  <c r="K35" i="2"/>
  <c r="K11" i="2"/>
  <c r="K154" i="2"/>
  <c r="K106" i="2"/>
  <c r="K82" i="2"/>
  <c r="K66" i="2"/>
  <c r="K50" i="2"/>
  <c r="K42" i="2"/>
  <c r="K34" i="2"/>
  <c r="K26" i="2"/>
  <c r="K10" i="2"/>
  <c r="K201" i="2"/>
  <c r="K193" i="2"/>
  <c r="K185" i="2"/>
  <c r="K177" i="2"/>
  <c r="K169" i="2"/>
  <c r="K153" i="2"/>
  <c r="K145" i="2"/>
  <c r="K137" i="2"/>
  <c r="K129" i="2"/>
  <c r="K121" i="2"/>
  <c r="K113" i="2"/>
  <c r="K105" i="2"/>
  <c r="K97" i="2"/>
  <c r="K89" i="2"/>
  <c r="K81" i="2"/>
  <c r="K73" i="2"/>
  <c r="K65" i="2"/>
  <c r="K57" i="2"/>
  <c r="K49" i="2"/>
  <c r="K41" i="2"/>
  <c r="K33" i="2"/>
  <c r="K25" i="2"/>
  <c r="K17" i="2"/>
  <c r="K9" i="2"/>
  <c r="K3" i="2"/>
  <c r="K110" i="2"/>
  <c r="K94" i="2"/>
  <c r="K78" i="2"/>
  <c r="K62" i="2"/>
  <c r="K46" i="2"/>
  <c r="K30" i="2"/>
  <c r="K6" i="2"/>
  <c r="K189" i="2"/>
  <c r="K173" i="2"/>
  <c r="K157" i="2"/>
  <c r="K149" i="2"/>
  <c r="K133" i="2"/>
  <c r="K117" i="2"/>
  <c r="K101" i="2"/>
  <c r="K85" i="2"/>
  <c r="K69" i="2"/>
  <c r="K53" i="2"/>
  <c r="K37" i="2"/>
  <c r="K21" i="2"/>
  <c r="K196" i="2"/>
  <c r="K180" i="2"/>
  <c r="K164" i="2"/>
  <c r="K148" i="2"/>
  <c r="K132" i="2"/>
  <c r="K116" i="2"/>
  <c r="K100" i="2"/>
  <c r="K84" i="2"/>
  <c r="K68" i="2"/>
  <c r="K52" i="2"/>
  <c r="K36" i="2"/>
  <c r="K12" i="2"/>
  <c r="K179" i="2"/>
  <c r="K163" i="2"/>
  <c r="K147" i="2"/>
  <c r="K131" i="2"/>
  <c r="K115" i="2"/>
  <c r="K99" i="2"/>
  <c r="K83" i="2"/>
  <c r="K75" i="2"/>
  <c r="K59" i="2"/>
  <c r="K43" i="2"/>
  <c r="K27" i="2"/>
  <c r="K19" i="2"/>
  <c r="K194" i="2"/>
  <c r="K186" i="2"/>
  <c r="K178" i="2"/>
  <c r="K170" i="2"/>
  <c r="K162" i="2"/>
  <c r="K146" i="2"/>
  <c r="K138" i="2"/>
  <c r="K130" i="2"/>
  <c r="K122" i="2"/>
  <c r="K114" i="2"/>
  <c r="K98" i="2"/>
  <c r="K90" i="2"/>
  <c r="K74" i="2"/>
  <c r="K58" i="2"/>
  <c r="K18" i="2"/>
  <c r="K161" i="2"/>
  <c r="K200" i="2"/>
  <c r="K192" i="2"/>
  <c r="K184" i="2"/>
  <c r="K176" i="2"/>
  <c r="K168" i="2"/>
  <c r="K160" i="2"/>
  <c r="K152" i="2"/>
  <c r="K144" i="2"/>
  <c r="K136" i="2"/>
  <c r="K128" i="2"/>
  <c r="K120" i="2"/>
  <c r="K112" i="2"/>
  <c r="K104" i="2"/>
  <c r="K96" i="2"/>
  <c r="K88" i="2"/>
  <c r="K80" i="2"/>
  <c r="K72" i="2"/>
  <c r="K64" i="2"/>
  <c r="K56" i="2"/>
  <c r="K48" i="2"/>
  <c r="K40" i="2"/>
  <c r="K32" i="2"/>
  <c r="K24" i="2"/>
  <c r="K16" i="2"/>
  <c r="K8" i="2"/>
</calcChain>
</file>

<file path=xl/sharedStrings.xml><?xml version="1.0" encoding="utf-8"?>
<sst xmlns="http://schemas.openxmlformats.org/spreadsheetml/2006/main" count="617" uniqueCount="32">
  <si>
    <t>CustomerID</t>
  </si>
  <si>
    <t>Gender</t>
  </si>
  <si>
    <t>Age</t>
  </si>
  <si>
    <t>Age Group</t>
  </si>
  <si>
    <t>Estimated Savings (k$)</t>
  </si>
  <si>
    <t>Credit Score</t>
  </si>
  <si>
    <t>Loyalty Years</t>
  </si>
  <si>
    <t>Preferred Category</t>
  </si>
  <si>
    <t>Annual Income (k$)</t>
  </si>
  <si>
    <t>Spending Score (1-100)</t>
  </si>
  <si>
    <t>Segment_Customer</t>
  </si>
  <si>
    <t>Male</t>
  </si>
  <si>
    <t>18-25</t>
  </si>
  <si>
    <t>Budget</t>
  </si>
  <si>
    <t>Luxury</t>
  </si>
  <si>
    <t>Median_Annual Income (k$)</t>
  </si>
  <si>
    <t>Female</t>
  </si>
  <si>
    <t>Median_Spending Score (1-100)</t>
  </si>
  <si>
    <t>26-35</t>
  </si>
  <si>
    <t>51-65</t>
  </si>
  <si>
    <t>65+</t>
  </si>
  <si>
    <t>36-50</t>
  </si>
  <si>
    <t>Electronics</t>
  </si>
  <si>
    <t>Fashion</t>
  </si>
  <si>
    <t>Row Labels</t>
  </si>
  <si>
    <t>(blank)</t>
  </si>
  <si>
    <t>Grand Total</t>
  </si>
  <si>
    <t>Count of Segment_Customer</t>
  </si>
  <si>
    <t>1. VIP / high income &amp; high spend (main target)</t>
  </si>
  <si>
    <t>2. high income &amp; low spend (high potential)</t>
  </si>
  <si>
    <t>3. low income &amp; high spend (regular customer/shopper)</t>
  </si>
  <si>
    <t>4. low income &amp; low spend (economy class)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</si>
</sst>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[Mall_Customers_Segmented_Excel.xlsx]Pivot Table Summary!PivotTable2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50800" dist="50800" dir="5400000" algn="ctr" rotWithShape="0">
              <a:srgbClr val="FFC000"/>
            </a:outerShdw>
          </a:effectLst>
        </c:spPr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50800" dist="50800" dir="5400000" algn="ctr" rotWithShape="0">
              <a:srgbClr val="FF0000"/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5.506950213900428E-2"/>
          <c:y val="9.0205655526992293E-2"/>
          <c:w val="0.87893570587141179"/>
          <c:h val="0.816778130882739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0800" dist="50800" dir="5400000" algn="ctr" rotWithShape="0">
                  <a:srgbClr val="FFC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EA5-954F-B124-21398795A7F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0800" dist="50800" dir="5400000" algn="ctr" rotWithShape="0">
                  <a:srgbClr val="FF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A5-954F-B124-21398795A7F0}"/>
              </c:ext>
            </c:extLst>
          </c:dPt>
          <c:cat>
            <c:strRef>
              <c:f>'Pivot Table Summary'!$A$4:$A$9</c:f>
              <c:strCache>
                <c:ptCount val="5"/>
                <c:pt idx="0">
                  <c:v>1. VIP / high income &amp; high spend (main target)</c:v>
                </c:pt>
                <c:pt idx="1">
                  <c:v>2. high income &amp; low spend (high potential)</c:v>
                </c:pt>
                <c:pt idx="2">
                  <c:v>3. low income &amp; high spend (regular customer/shopper)</c:v>
                </c:pt>
                <c:pt idx="3">
                  <c:v>4. low income &amp; low spend (economy class)</c:v>
                </c:pt>
                <c:pt idx="4">
                  <c:v>(blank)</c:v>
                </c:pt>
              </c:strCache>
            </c:strRef>
          </c:cat>
          <c:val>
            <c:numRef>
              <c:f>'Pivot Table Summary'!$B$4:$B$9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52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5-954F-B124-21398795A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549887"/>
        <c:axId val="1742740031"/>
      </c:barChart>
      <c:catAx>
        <c:axId val="170754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42740031"/>
        <c:crosses val="autoZero"/>
        <c:auto val="1"/>
        <c:lblAlgn val="ctr"/>
        <c:lblOffset val="100"/>
        <c:noMultiLvlLbl val="0"/>
      </c:catAx>
      <c:valAx>
        <c:axId val="174274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0754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622300</xdr:colOff>
      <xdr:row>10</xdr:row>
      <xdr:rowOff>25400</xdr:rowOff>
    </xdr:from>
    <xdr:to>
      <xdr:col>5</xdr:col>
      <xdr:colOff>635000</xdr:colOff>
      <xdr:row>34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47FB3C-DBE4-4673-6E30-3AA50B6F2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320.633698958336" createdVersion="8" refreshedVersion="8" minRefreshableVersion="3" recordCount="201" xr:uid="{ECF1A455-B858-F247-8A19-BB835988653D}">
  <cacheSource type="worksheet">
    <worksheetSource ref="A1:K1048576" sheet="Segment_Customer"/>
  </cacheSource>
  <cacheFields count="11">
    <cacheField name="CustomerID" numFmtId="0">
      <sharedItems containsString="0" containsBlank="1" containsNumber="1" containsInteger="1" minValue="1" maxValue="200" count="2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m/>
      </sharedItems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70"/>
    </cacheField>
    <cacheField name="Age Group" numFmtId="0">
      <sharedItems containsBlank="1"/>
    </cacheField>
    <cacheField name="Estimated Savings (k$)" numFmtId="0">
      <sharedItems containsString="0" containsBlank="1" containsNumber="1" minValue="6.46" maxValue="120.56"/>
    </cacheField>
    <cacheField name="Credit Score" numFmtId="0">
      <sharedItems containsString="0" containsBlank="1" containsNumber="1" containsInteger="1" minValue="300" maxValue="850"/>
    </cacheField>
    <cacheField name="Loyalty Years" numFmtId="0">
      <sharedItems containsString="0" containsBlank="1" containsNumber="1" containsInteger="1" minValue="2" maxValue="9"/>
    </cacheField>
    <cacheField name="Preferred Category" numFmtId="0">
      <sharedItems containsBlank="1"/>
    </cacheField>
    <cacheField name="Annual Income (k$)" numFmtId="0">
      <sharedItems containsString="0" containsBlank="1" containsNumber="1" containsInteger="1" minValue="15" maxValue="137"/>
    </cacheField>
    <cacheField name="Spending Score (1-100)" numFmtId="0">
      <sharedItems containsString="0" containsBlank="1" containsNumber="1" containsInteger="1" minValue="1" maxValue="99"/>
    </cacheField>
    <cacheField name="Segment_Customer" numFmtId="0">
      <sharedItems containsBlank="1" count="5">
        <s v="4. low income &amp; low spend (economy class)"/>
        <s v="3. low income &amp; high spend (regular customer/shopper)"/>
        <s v="2. high income &amp; low spend (high potential)"/>
        <s v="1. VIP / high income &amp; high spend (main target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s v="Male"/>
    <n v="19"/>
    <s v="18-25"/>
    <n v="11.1"/>
    <n v="456"/>
    <n v="3"/>
    <s v="Budget"/>
    <n v="15"/>
    <n v="39"/>
    <x v="0"/>
  </r>
  <r>
    <x v="1"/>
    <s v="Male"/>
    <n v="21"/>
    <s v="18-25"/>
    <n v="6.9"/>
    <n v="300"/>
    <n v="6"/>
    <s v="Luxury"/>
    <n v="15"/>
    <n v="81"/>
    <x v="1"/>
  </r>
  <r>
    <x v="2"/>
    <s v="Female"/>
    <n v="20"/>
    <s v="18-25"/>
    <n v="15.36"/>
    <n v="594"/>
    <n v="2"/>
    <s v="Budget"/>
    <n v="16"/>
    <n v="6"/>
    <x v="0"/>
  </r>
  <r>
    <x v="3"/>
    <s v="Female"/>
    <n v="23"/>
    <s v="18-25"/>
    <n v="7.79"/>
    <n v="300"/>
    <n v="6"/>
    <s v="Luxury"/>
    <n v="16"/>
    <n v="77"/>
    <x v="1"/>
  </r>
  <r>
    <x v="4"/>
    <s v="Female"/>
    <n v="31"/>
    <s v="26-35"/>
    <n v="12.47"/>
    <n v="480"/>
    <n v="5"/>
    <s v="Budget"/>
    <n v="17"/>
    <n v="40"/>
    <x v="0"/>
  </r>
  <r>
    <x v="5"/>
    <s v="Female"/>
    <n v="22"/>
    <s v="18-25"/>
    <n v="8.39"/>
    <n v="300"/>
    <n v="6"/>
    <s v="Luxury"/>
    <n v="17"/>
    <n v="76"/>
    <x v="1"/>
  </r>
  <r>
    <x v="6"/>
    <s v="Female"/>
    <n v="35"/>
    <s v="26-35"/>
    <n v="17.28"/>
    <n v="682"/>
    <n v="3"/>
    <s v="Budget"/>
    <n v="18"/>
    <n v="6"/>
    <x v="0"/>
  </r>
  <r>
    <x v="7"/>
    <s v="Female"/>
    <n v="23"/>
    <s v="18-25"/>
    <n v="6.72"/>
    <n v="300"/>
    <n v="7"/>
    <s v="Luxury"/>
    <n v="18"/>
    <n v="94"/>
    <x v="1"/>
  </r>
  <r>
    <x v="8"/>
    <s v="Male"/>
    <n v="64"/>
    <s v="51-65"/>
    <n v="18.62"/>
    <n v="699"/>
    <n v="6"/>
    <s v="Budget"/>
    <n v="19"/>
    <n v="3"/>
    <x v="0"/>
  </r>
  <r>
    <x v="9"/>
    <s v="Female"/>
    <n v="30"/>
    <s v="26-35"/>
    <n v="9.8800000000000008"/>
    <n v="354"/>
    <n v="6"/>
    <s v="Luxury"/>
    <n v="19"/>
    <n v="72"/>
    <x v="1"/>
  </r>
  <r>
    <x v="10"/>
    <s v="Male"/>
    <n v="67"/>
    <s v="65+"/>
    <n v="17.23"/>
    <n v="657"/>
    <n v="7"/>
    <s v="Budget"/>
    <n v="19"/>
    <n v="14"/>
    <x v="0"/>
  </r>
  <r>
    <x v="11"/>
    <s v="Female"/>
    <n v="35"/>
    <s v="26-35"/>
    <n v="6.46"/>
    <n v="300"/>
    <n v="8"/>
    <s v="Luxury"/>
    <n v="19"/>
    <n v="99"/>
    <x v="1"/>
  </r>
  <r>
    <x v="12"/>
    <s v="Female"/>
    <n v="58"/>
    <s v="51-65"/>
    <n v="18"/>
    <n v="598"/>
    <n v="6"/>
    <s v="Budget"/>
    <n v="20"/>
    <n v="15"/>
    <x v="0"/>
  </r>
  <r>
    <x v="13"/>
    <s v="Female"/>
    <n v="24"/>
    <s v="18-25"/>
    <n v="9.73"/>
    <n v="300"/>
    <n v="6"/>
    <s v="Luxury"/>
    <n v="20"/>
    <n v="77"/>
    <x v="1"/>
  </r>
  <r>
    <x v="14"/>
    <s v="Male"/>
    <n v="37"/>
    <s v="36-50"/>
    <n v="18.27"/>
    <n v="606"/>
    <n v="4"/>
    <s v="Budget"/>
    <n v="20"/>
    <n v="13"/>
    <x v="0"/>
  </r>
  <r>
    <x v="15"/>
    <s v="Male"/>
    <n v="22"/>
    <s v="18-25"/>
    <n v="9.4700000000000006"/>
    <n v="307"/>
    <n v="6"/>
    <s v="Luxury"/>
    <n v="20"/>
    <n v="79"/>
    <x v="1"/>
  </r>
  <r>
    <x v="16"/>
    <s v="Female"/>
    <n v="35"/>
    <s v="26-35"/>
    <n v="16.100000000000001"/>
    <n v="486"/>
    <n v="5"/>
    <s v="Budget"/>
    <n v="21"/>
    <n v="35"/>
    <x v="0"/>
  </r>
  <r>
    <x v="17"/>
    <s v="Male"/>
    <n v="20"/>
    <s v="18-25"/>
    <n v="11.76"/>
    <n v="417"/>
    <n v="5"/>
    <s v="Budget"/>
    <n v="21"/>
    <n v="66"/>
    <x v="1"/>
  </r>
  <r>
    <x v="18"/>
    <s v="Male"/>
    <n v="52"/>
    <s v="51-65"/>
    <n v="18.55"/>
    <n v="564"/>
    <n v="6"/>
    <s v="Budget"/>
    <n v="23"/>
    <n v="29"/>
    <x v="0"/>
  </r>
  <r>
    <x v="19"/>
    <s v="Female"/>
    <n v="35"/>
    <s v="26-35"/>
    <n v="7.97"/>
    <n v="300"/>
    <n v="8"/>
    <s v="Luxury"/>
    <n v="23"/>
    <n v="98"/>
    <x v="1"/>
  </r>
  <r>
    <x v="20"/>
    <s v="Male"/>
    <n v="35"/>
    <s v="26-35"/>
    <n v="18.399999999999999"/>
    <n v="516"/>
    <n v="5"/>
    <s v="Budget"/>
    <n v="24"/>
    <n v="35"/>
    <x v="0"/>
  </r>
  <r>
    <x v="21"/>
    <s v="Male"/>
    <n v="25"/>
    <s v="18-25"/>
    <n v="12.32"/>
    <n v="388"/>
    <n v="6"/>
    <s v="Luxury"/>
    <n v="24"/>
    <n v="73"/>
    <x v="1"/>
  </r>
  <r>
    <x v="22"/>
    <s v="Female"/>
    <n v="46"/>
    <s v="36-50"/>
    <n v="24.17"/>
    <n v="734"/>
    <n v="4"/>
    <s v="Budget"/>
    <n v="25"/>
    <n v="5"/>
    <x v="0"/>
  </r>
  <r>
    <x v="23"/>
    <s v="Male"/>
    <n v="31"/>
    <s v="26-35"/>
    <n v="12.83"/>
    <n v="355"/>
    <n v="6"/>
    <s v="Luxury"/>
    <n v="25"/>
    <n v="73"/>
    <x v="1"/>
  </r>
  <r>
    <x v="24"/>
    <s v="Female"/>
    <n v="54"/>
    <s v="51-65"/>
    <n v="25.39"/>
    <n v="692"/>
    <n v="6"/>
    <s v="Budget"/>
    <n v="28"/>
    <n v="14"/>
    <x v="0"/>
  </r>
  <r>
    <x v="25"/>
    <s v="Male"/>
    <n v="29"/>
    <s v="26-35"/>
    <n v="12.69"/>
    <n v="395"/>
    <n v="7"/>
    <s v="Luxury"/>
    <n v="28"/>
    <n v="82"/>
    <x v="1"/>
  </r>
  <r>
    <x v="26"/>
    <s v="Female"/>
    <n v="45"/>
    <s v="36-50"/>
    <n v="22.03"/>
    <n v="627"/>
    <n v="6"/>
    <s v="Budget"/>
    <n v="28"/>
    <n v="32"/>
    <x v="0"/>
  </r>
  <r>
    <x v="27"/>
    <s v="Male"/>
    <n v="35"/>
    <s v="26-35"/>
    <n v="16.61"/>
    <n v="446"/>
    <n v="6"/>
    <s v="Budget"/>
    <n v="28"/>
    <n v="61"/>
    <x v="1"/>
  </r>
  <r>
    <x v="28"/>
    <s v="Female"/>
    <n v="40"/>
    <s v="36-50"/>
    <n v="23.01"/>
    <n v="673"/>
    <n v="5"/>
    <s v="Budget"/>
    <n v="29"/>
    <n v="31"/>
    <x v="0"/>
  </r>
  <r>
    <x v="29"/>
    <s v="Female"/>
    <n v="23"/>
    <s v="18-25"/>
    <n v="12.18"/>
    <n v="353"/>
    <n v="6"/>
    <s v="Luxury"/>
    <n v="29"/>
    <n v="87"/>
    <x v="1"/>
  </r>
  <r>
    <x v="30"/>
    <s v="Male"/>
    <n v="60"/>
    <s v="51-65"/>
    <n v="29.2"/>
    <n v="820"/>
    <n v="6"/>
    <s v="Budget"/>
    <n v="30"/>
    <n v="4"/>
    <x v="0"/>
  </r>
  <r>
    <x v="31"/>
    <s v="Female"/>
    <n v="21"/>
    <s v="18-25"/>
    <n v="15.4"/>
    <n v="443"/>
    <n v="5"/>
    <s v="Luxury"/>
    <n v="30"/>
    <n v="73"/>
    <x v="1"/>
  </r>
  <r>
    <x v="32"/>
    <s v="Male"/>
    <n v="53"/>
    <s v="51-65"/>
    <n v="32.119999999999997"/>
    <n v="801"/>
    <n v="5"/>
    <s v="Budget"/>
    <n v="33"/>
    <n v="4"/>
    <x v="0"/>
  </r>
  <r>
    <x v="33"/>
    <s v="Male"/>
    <n v="18"/>
    <m/>
    <n v="12.76"/>
    <n v="411"/>
    <n v="6"/>
    <s v="Luxury"/>
    <n v="33"/>
    <n v="92"/>
    <x v="1"/>
  </r>
  <r>
    <x v="34"/>
    <s v="Female"/>
    <n v="49"/>
    <s v="36-50"/>
    <n v="29.92"/>
    <n v="769"/>
    <n v="5"/>
    <s v="Budget"/>
    <n v="33"/>
    <n v="14"/>
    <x v="0"/>
  </r>
  <r>
    <x v="35"/>
    <s v="Female"/>
    <n v="21"/>
    <s v="18-25"/>
    <n v="15.18"/>
    <n v="454"/>
    <n v="6"/>
    <s v="Luxury"/>
    <n v="33"/>
    <n v="81"/>
    <x v="1"/>
  </r>
  <r>
    <x v="36"/>
    <s v="Female"/>
    <n v="42"/>
    <s v="36-50"/>
    <n v="30.15"/>
    <n v="719"/>
    <n v="5"/>
    <s v="Budget"/>
    <n v="34"/>
    <n v="17"/>
    <x v="0"/>
  </r>
  <r>
    <x v="37"/>
    <s v="Female"/>
    <n v="30"/>
    <s v="26-35"/>
    <n v="17.45"/>
    <n v="486"/>
    <n v="6"/>
    <s v="Luxury"/>
    <n v="34"/>
    <n v="73"/>
    <x v="1"/>
  </r>
  <r>
    <x v="38"/>
    <s v="Female"/>
    <n v="36"/>
    <s v="36-50"/>
    <n v="30.59"/>
    <n v="751"/>
    <n v="4"/>
    <s v="Budget"/>
    <n v="37"/>
    <n v="26"/>
    <x v="0"/>
  </r>
  <r>
    <x v="39"/>
    <s v="Female"/>
    <n v="20"/>
    <s v="18-25"/>
    <n v="18.5"/>
    <n v="491"/>
    <n v="5"/>
    <s v="Luxury"/>
    <n v="37"/>
    <n v="75"/>
    <x v="1"/>
  </r>
  <r>
    <x v="40"/>
    <s v="Female"/>
    <n v="65"/>
    <s v="51-65"/>
    <n v="29.13"/>
    <n v="716"/>
    <n v="8"/>
    <s v="Budget"/>
    <n v="38"/>
    <n v="35"/>
    <x v="0"/>
  </r>
  <r>
    <x v="41"/>
    <s v="Male"/>
    <n v="24"/>
    <s v="18-25"/>
    <n v="14.69"/>
    <n v="420"/>
    <n v="7"/>
    <s v="Luxury"/>
    <n v="38"/>
    <n v="92"/>
    <x v="1"/>
  </r>
  <r>
    <x v="42"/>
    <s v="Male"/>
    <n v="48"/>
    <s v="36-50"/>
    <n v="29.64"/>
    <n v="714"/>
    <n v="6"/>
    <s v="Budget"/>
    <n v="39"/>
    <n v="36"/>
    <x v="0"/>
  </r>
  <r>
    <x v="43"/>
    <s v="Female"/>
    <n v="31"/>
    <s v="26-35"/>
    <n v="23.14"/>
    <n v="598"/>
    <n v="6"/>
    <s v="Budget"/>
    <n v="39"/>
    <n v="61"/>
    <x v="1"/>
  </r>
  <r>
    <x v="44"/>
    <s v="Female"/>
    <n v="49"/>
    <s v="36-50"/>
    <n v="31.72"/>
    <n v="702"/>
    <n v="6"/>
    <s v="Budget"/>
    <n v="39"/>
    <n v="28"/>
    <x v="0"/>
  </r>
  <r>
    <x v="45"/>
    <s v="Female"/>
    <n v="24"/>
    <s v="18-25"/>
    <n v="22.1"/>
    <n v="565"/>
    <n v="5"/>
    <s v="Budget"/>
    <n v="39"/>
    <n v="65"/>
    <x v="1"/>
  </r>
  <r>
    <x v="46"/>
    <s v="Female"/>
    <n v="50"/>
    <s v="36-50"/>
    <n v="25.33"/>
    <n v="581"/>
    <n v="7"/>
    <s v="Electronics"/>
    <n v="40"/>
    <n v="55"/>
    <x v="1"/>
  </r>
  <r>
    <x v="47"/>
    <s v="Female"/>
    <n v="27"/>
    <s v="26-35"/>
    <n v="27.47"/>
    <n v="635"/>
    <n v="5"/>
    <s v="Fashion"/>
    <n v="40"/>
    <n v="47"/>
    <x v="0"/>
  </r>
  <r>
    <x v="48"/>
    <s v="Female"/>
    <n v="29"/>
    <s v="26-35"/>
    <n v="28.8"/>
    <n v="712"/>
    <n v="5"/>
    <s v="Fashion"/>
    <n v="40"/>
    <n v="42"/>
    <x v="0"/>
  </r>
  <r>
    <x v="49"/>
    <s v="Female"/>
    <n v="31"/>
    <s v="26-35"/>
    <n v="28.8"/>
    <n v="678"/>
    <n v="5"/>
    <s v="Fashion"/>
    <n v="40"/>
    <n v="42"/>
    <x v="0"/>
  </r>
  <r>
    <x v="50"/>
    <s v="Female"/>
    <n v="49"/>
    <s v="36-50"/>
    <n v="27.44"/>
    <n v="627"/>
    <n v="7"/>
    <s v="Electronics"/>
    <n v="42"/>
    <n v="52"/>
    <x v="1"/>
  </r>
  <r>
    <x v="51"/>
    <s v="Male"/>
    <n v="33"/>
    <s v="26-35"/>
    <n v="25.2"/>
    <n v="573"/>
    <n v="6"/>
    <s v="Fashion"/>
    <n v="42"/>
    <n v="60"/>
    <x v="1"/>
  </r>
  <r>
    <x v="52"/>
    <s v="Female"/>
    <n v="31"/>
    <s v="26-35"/>
    <n v="27.52"/>
    <n v="698"/>
    <n v="5"/>
    <s v="Fashion"/>
    <n v="43"/>
    <n v="54"/>
    <x v="1"/>
  </r>
  <r>
    <x v="53"/>
    <s v="Male"/>
    <n v="59"/>
    <s v="51-65"/>
    <n v="25.8"/>
    <n v="639"/>
    <n v="8"/>
    <s v="Electronics"/>
    <n v="43"/>
    <n v="60"/>
    <x v="1"/>
  </r>
  <r>
    <x v="54"/>
    <s v="Female"/>
    <n v="50"/>
    <s v="36-50"/>
    <n v="30.1"/>
    <n v="668"/>
    <n v="7"/>
    <s v="Electronics"/>
    <n v="43"/>
    <n v="45"/>
    <x v="0"/>
  </r>
  <r>
    <x v="55"/>
    <s v="Male"/>
    <n v="47"/>
    <s v="36-50"/>
    <n v="31.25"/>
    <n v="683"/>
    <n v="6"/>
    <s v="Electronics"/>
    <n v="43"/>
    <n v="41"/>
    <x v="0"/>
  </r>
  <r>
    <x v="56"/>
    <s v="Female"/>
    <n v="51"/>
    <s v="51-65"/>
    <n v="29.33"/>
    <n v="729"/>
    <n v="7"/>
    <s v="Electronics"/>
    <n v="44"/>
    <n v="50"/>
    <x v="1"/>
  </r>
  <r>
    <x v="57"/>
    <s v="Male"/>
    <n v="69"/>
    <s v="65+"/>
    <n v="30.51"/>
    <n v="712"/>
    <n v="9"/>
    <s v="Electronics"/>
    <n v="44"/>
    <n v="46"/>
    <x v="0"/>
  </r>
  <r>
    <x v="58"/>
    <s v="Female"/>
    <n v="27"/>
    <s v="26-35"/>
    <n v="30.36"/>
    <n v="656"/>
    <n v="5"/>
    <s v="Fashion"/>
    <n v="46"/>
    <n v="51"/>
    <x v="1"/>
  </r>
  <r>
    <x v="59"/>
    <s v="Male"/>
    <n v="53"/>
    <s v="51-65"/>
    <n v="31.89"/>
    <n v="763"/>
    <n v="7"/>
    <s v="Electronics"/>
    <n v="46"/>
    <n v="46"/>
    <x v="0"/>
  </r>
  <r>
    <x v="60"/>
    <s v="Male"/>
    <n v="70"/>
    <s v="65+"/>
    <n v="28.83"/>
    <n v="721"/>
    <n v="9"/>
    <s v="Electronics"/>
    <n v="46"/>
    <n v="56"/>
    <x v="1"/>
  </r>
  <r>
    <x v="61"/>
    <s v="Male"/>
    <n v="19"/>
    <s v="18-25"/>
    <n v="29.13"/>
    <n v="694"/>
    <n v="4"/>
    <s v="Fashion"/>
    <n v="46"/>
    <n v="55"/>
    <x v="1"/>
  </r>
  <r>
    <x v="62"/>
    <s v="Female"/>
    <n v="67"/>
    <s v="65+"/>
    <n v="30.71"/>
    <n v="730"/>
    <n v="9"/>
    <s v="Electronics"/>
    <n v="47"/>
    <n v="52"/>
    <x v="1"/>
  </r>
  <r>
    <x v="63"/>
    <s v="Female"/>
    <n v="54"/>
    <s v="51-65"/>
    <n v="28.51"/>
    <n v="668"/>
    <n v="8"/>
    <s v="Electronics"/>
    <n v="47"/>
    <n v="59"/>
    <x v="1"/>
  </r>
  <r>
    <x v="64"/>
    <s v="Male"/>
    <n v="63"/>
    <s v="51-65"/>
    <n v="31.68"/>
    <n v="682"/>
    <n v="8"/>
    <s v="Electronics"/>
    <n v="48"/>
    <n v="51"/>
    <x v="1"/>
  </r>
  <r>
    <x v="65"/>
    <s v="Male"/>
    <n v="18"/>
    <m/>
    <n v="29.12"/>
    <n v="681"/>
    <n v="4"/>
    <s v="Electronics"/>
    <n v="48"/>
    <n v="59"/>
    <x v="1"/>
  </r>
  <r>
    <x v="66"/>
    <s v="Female"/>
    <n v="43"/>
    <s v="36-50"/>
    <n v="32"/>
    <n v="714"/>
    <n v="6"/>
    <s v="Electronics"/>
    <n v="48"/>
    <n v="50"/>
    <x v="1"/>
  </r>
  <r>
    <x v="67"/>
    <s v="Female"/>
    <n v="68"/>
    <s v="65+"/>
    <n v="32.64"/>
    <n v="767"/>
    <n v="9"/>
    <s v="Electronics"/>
    <n v="48"/>
    <n v="48"/>
    <x v="0"/>
  </r>
  <r>
    <x v="68"/>
    <s v="Male"/>
    <n v="19"/>
    <s v="18-25"/>
    <n v="29.12"/>
    <n v="715"/>
    <n v="4"/>
    <s v="Fashion"/>
    <n v="48"/>
    <n v="59"/>
    <x v="1"/>
  </r>
  <r>
    <x v="69"/>
    <s v="Female"/>
    <n v="32"/>
    <s v="26-35"/>
    <n v="32.96"/>
    <n v="730"/>
    <n v="5"/>
    <s v="Fashion"/>
    <n v="48"/>
    <n v="47"/>
    <x v="0"/>
  </r>
  <r>
    <x v="70"/>
    <s v="Male"/>
    <n v="70"/>
    <s v="65+"/>
    <n v="31.03"/>
    <n v="714"/>
    <n v="9"/>
    <s v="Electronics"/>
    <n v="49"/>
    <n v="55"/>
    <x v="1"/>
  </r>
  <r>
    <x v="71"/>
    <s v="Female"/>
    <n v="47"/>
    <s v="36-50"/>
    <n v="35.28"/>
    <n v="733"/>
    <n v="6"/>
    <s v="Electronics"/>
    <n v="49"/>
    <n v="42"/>
    <x v="0"/>
  </r>
  <r>
    <x v="72"/>
    <s v="Female"/>
    <n v="60"/>
    <s v="51-65"/>
    <n v="33.67"/>
    <n v="706"/>
    <n v="8"/>
    <s v="Electronics"/>
    <n v="50"/>
    <n v="49"/>
    <x v="0"/>
  </r>
  <r>
    <x v="73"/>
    <s v="Female"/>
    <n v="60"/>
    <s v="51-65"/>
    <n v="31.33"/>
    <n v="675"/>
    <n v="8"/>
    <s v="Electronics"/>
    <n v="50"/>
    <n v="56"/>
    <x v="1"/>
  </r>
  <r>
    <x v="74"/>
    <s v="Male"/>
    <n v="59"/>
    <s v="51-65"/>
    <n v="37.08"/>
    <n v="808"/>
    <n v="8"/>
    <s v="Electronics"/>
    <n v="54"/>
    <n v="47"/>
    <x v="0"/>
  </r>
  <r>
    <x v="75"/>
    <s v="Male"/>
    <n v="26"/>
    <s v="26-35"/>
    <n v="34.56"/>
    <n v="723"/>
    <n v="5"/>
    <s v="Fashion"/>
    <n v="54"/>
    <n v="54"/>
    <x v="1"/>
  </r>
  <r>
    <x v="76"/>
    <s v="Female"/>
    <n v="45"/>
    <s v="36-50"/>
    <n v="34.92"/>
    <n v="778"/>
    <n v="7"/>
    <s v="Electronics"/>
    <n v="54"/>
    <n v="53"/>
    <x v="1"/>
  </r>
  <r>
    <x v="77"/>
    <s v="Male"/>
    <n v="40"/>
    <s v="36-50"/>
    <n v="36.72"/>
    <n v="842"/>
    <n v="6"/>
    <s v="Electronics"/>
    <n v="54"/>
    <n v="48"/>
    <x v="0"/>
  </r>
  <r>
    <x v="78"/>
    <s v="Female"/>
    <n v="23"/>
    <s v="18-25"/>
    <n v="35.28"/>
    <n v="792"/>
    <n v="4"/>
    <s v="Fashion"/>
    <n v="54"/>
    <n v="52"/>
    <x v="1"/>
  </r>
  <r>
    <x v="79"/>
    <s v="Female"/>
    <n v="49"/>
    <s v="36-50"/>
    <n v="38.880000000000003"/>
    <n v="797"/>
    <n v="7"/>
    <s v="Electronics"/>
    <n v="54"/>
    <n v="42"/>
    <x v="0"/>
  </r>
  <r>
    <x v="80"/>
    <s v="Male"/>
    <n v="57"/>
    <s v="51-65"/>
    <n v="35.64"/>
    <n v="824"/>
    <n v="8"/>
    <s v="Electronics"/>
    <n v="54"/>
    <n v="51"/>
    <x v="1"/>
  </r>
  <r>
    <x v="81"/>
    <s v="Male"/>
    <n v="38"/>
    <s v="36-50"/>
    <n v="34.200000000000003"/>
    <n v="758"/>
    <n v="6"/>
    <s v="Electronics"/>
    <n v="54"/>
    <n v="55"/>
    <x v="1"/>
  </r>
  <r>
    <x v="82"/>
    <s v="Male"/>
    <n v="67"/>
    <s v="65+"/>
    <n v="39.24"/>
    <n v="818"/>
    <n v="8"/>
    <s v="Electronics"/>
    <n v="54"/>
    <n v="41"/>
    <x v="0"/>
  </r>
  <r>
    <x v="83"/>
    <s v="Female"/>
    <n v="46"/>
    <s v="36-50"/>
    <n v="38.159999999999997"/>
    <n v="843"/>
    <n v="6"/>
    <s v="Electronics"/>
    <n v="54"/>
    <n v="44"/>
    <x v="0"/>
  </r>
  <r>
    <x v="84"/>
    <s v="Female"/>
    <n v="21"/>
    <s v="18-25"/>
    <n v="33.479999999999997"/>
    <n v="766"/>
    <n v="4"/>
    <s v="Fashion"/>
    <n v="54"/>
    <n v="57"/>
    <x v="1"/>
  </r>
  <r>
    <x v="85"/>
    <s v="Male"/>
    <n v="48"/>
    <s v="36-50"/>
    <n v="37.44"/>
    <n v="850"/>
    <n v="7"/>
    <s v="Electronics"/>
    <n v="54"/>
    <n v="46"/>
    <x v="0"/>
  </r>
  <r>
    <x v="86"/>
    <s v="Female"/>
    <n v="55"/>
    <s v="51-65"/>
    <n v="34.96"/>
    <n v="743"/>
    <n v="8"/>
    <s v="Electronics"/>
    <n v="57"/>
    <n v="58"/>
    <x v="1"/>
  </r>
  <r>
    <x v="87"/>
    <s v="Female"/>
    <n v="22"/>
    <s v="18-25"/>
    <n v="36.1"/>
    <n v="839"/>
    <n v="4"/>
    <s v="Fashion"/>
    <n v="57"/>
    <n v="55"/>
    <x v="1"/>
  </r>
  <r>
    <x v="88"/>
    <s v="Female"/>
    <n v="34"/>
    <s v="26-35"/>
    <n v="34.799999999999997"/>
    <n v="777"/>
    <n v="6"/>
    <s v="Fashion"/>
    <n v="58"/>
    <n v="60"/>
    <x v="1"/>
  </r>
  <r>
    <x v="89"/>
    <s v="Female"/>
    <n v="50"/>
    <s v="36-50"/>
    <n v="40.21"/>
    <n v="814"/>
    <n v="7"/>
    <s v="Electronics"/>
    <n v="58"/>
    <n v="46"/>
    <x v="0"/>
  </r>
  <r>
    <x v="90"/>
    <s v="Female"/>
    <n v="68"/>
    <s v="65+"/>
    <n v="37.369999999999997"/>
    <n v="836"/>
    <n v="9"/>
    <s v="Electronics"/>
    <n v="59"/>
    <n v="55"/>
    <x v="1"/>
  </r>
  <r>
    <x v="91"/>
    <s v="Male"/>
    <n v="18"/>
    <m/>
    <n v="42.87"/>
    <n v="850"/>
    <n v="3"/>
    <s v="Electronics"/>
    <n v="59"/>
    <n v="41"/>
    <x v="0"/>
  </r>
  <r>
    <x v="92"/>
    <s v="Male"/>
    <n v="48"/>
    <s v="36-50"/>
    <n v="40.4"/>
    <n v="850"/>
    <n v="7"/>
    <s v="Electronics"/>
    <n v="60"/>
    <n v="49"/>
    <x v="0"/>
  </r>
  <r>
    <x v="93"/>
    <s v="Female"/>
    <n v="40"/>
    <s v="36-50"/>
    <n v="44"/>
    <n v="850"/>
    <n v="6"/>
    <s v="Electronics"/>
    <n v="60"/>
    <n v="40"/>
    <x v="0"/>
  </r>
  <r>
    <x v="94"/>
    <s v="Female"/>
    <n v="32"/>
    <s v="26-35"/>
    <n v="43.2"/>
    <n v="850"/>
    <n v="5"/>
    <s v="Fashion"/>
    <n v="60"/>
    <n v="42"/>
    <x v="0"/>
  </r>
  <r>
    <x v="95"/>
    <s v="Male"/>
    <n v="24"/>
    <s v="18-25"/>
    <n v="39.200000000000003"/>
    <n v="850"/>
    <n v="5"/>
    <s v="Fashion"/>
    <n v="60"/>
    <n v="52"/>
    <x v="1"/>
  </r>
  <r>
    <x v="96"/>
    <s v="Female"/>
    <n v="47"/>
    <s v="36-50"/>
    <n v="41.2"/>
    <n v="850"/>
    <n v="7"/>
    <s v="Electronics"/>
    <n v="60"/>
    <n v="47"/>
    <x v="0"/>
  </r>
  <r>
    <x v="97"/>
    <s v="Female"/>
    <n v="27"/>
    <s v="26-35"/>
    <n v="40"/>
    <n v="850"/>
    <n v="5"/>
    <s v="Fashion"/>
    <n v="60"/>
    <n v="50"/>
    <x v="1"/>
  </r>
  <r>
    <x v="98"/>
    <s v="Male"/>
    <n v="48"/>
    <s v="36-50"/>
    <n v="43.92"/>
    <n v="850"/>
    <n v="6"/>
    <s v="Electronics"/>
    <n v="61"/>
    <n v="42"/>
    <x v="0"/>
  </r>
  <r>
    <x v="99"/>
    <s v="Male"/>
    <n v="20"/>
    <s v="18-25"/>
    <n v="41.07"/>
    <n v="838"/>
    <n v="4"/>
    <s v="Fashion"/>
    <n v="61"/>
    <n v="49"/>
    <x v="0"/>
  </r>
  <r>
    <x v="100"/>
    <s v="Female"/>
    <n v="23"/>
    <s v="18-25"/>
    <n v="45.05"/>
    <n v="850"/>
    <n v="4"/>
    <s v="Fashion"/>
    <n v="62"/>
    <n v="41"/>
    <x v="2"/>
  </r>
  <r>
    <x v="101"/>
    <s v="Female"/>
    <n v="49"/>
    <s v="36-50"/>
    <n v="42.16"/>
    <n v="850"/>
    <n v="7"/>
    <s v="Electronics"/>
    <n v="62"/>
    <n v="48"/>
    <x v="2"/>
  </r>
  <r>
    <x v="102"/>
    <s v="Male"/>
    <n v="67"/>
    <s v="65+"/>
    <n v="37.61"/>
    <n v="834"/>
    <n v="9"/>
    <s v="Electronics"/>
    <n v="62"/>
    <n v="59"/>
    <x v="3"/>
  </r>
  <r>
    <x v="103"/>
    <s v="Male"/>
    <n v="26"/>
    <s v="26-35"/>
    <n v="39.270000000000003"/>
    <n v="835"/>
    <n v="5"/>
    <s v="Fashion"/>
    <n v="62"/>
    <n v="55"/>
    <x v="3"/>
  </r>
  <r>
    <x v="104"/>
    <s v="Male"/>
    <n v="49"/>
    <s v="36-50"/>
    <n v="38.85"/>
    <n v="818"/>
    <n v="7"/>
    <s v="Electronics"/>
    <n v="62"/>
    <n v="56"/>
    <x v="3"/>
  </r>
  <r>
    <x v="105"/>
    <s v="Female"/>
    <n v="21"/>
    <s v="18-25"/>
    <n v="44.64"/>
    <n v="850"/>
    <n v="4"/>
    <s v="Fashion"/>
    <n v="62"/>
    <n v="42"/>
    <x v="2"/>
  </r>
  <r>
    <x v="106"/>
    <s v="Female"/>
    <n v="66"/>
    <s v="65+"/>
    <n v="42"/>
    <n v="850"/>
    <n v="9"/>
    <s v="Electronics"/>
    <n v="63"/>
    <n v="50"/>
    <x v="3"/>
  </r>
  <r>
    <x v="107"/>
    <s v="Male"/>
    <n v="54"/>
    <s v="51-65"/>
    <n v="43.68"/>
    <n v="850"/>
    <n v="7"/>
    <s v="Electronics"/>
    <n v="63"/>
    <n v="46"/>
    <x v="2"/>
  </r>
  <r>
    <x v="108"/>
    <s v="Male"/>
    <n v="68"/>
    <s v="65+"/>
    <n v="44.94"/>
    <n v="850"/>
    <n v="8"/>
    <s v="Electronics"/>
    <n v="63"/>
    <n v="43"/>
    <x v="2"/>
  </r>
  <r>
    <x v="109"/>
    <s v="Male"/>
    <n v="66"/>
    <s v="65+"/>
    <n v="42.84"/>
    <n v="850"/>
    <n v="9"/>
    <s v="Electronics"/>
    <n v="63"/>
    <n v="48"/>
    <x v="2"/>
  </r>
  <r>
    <x v="110"/>
    <s v="Male"/>
    <n v="65"/>
    <s v="51-65"/>
    <n v="41.16"/>
    <n v="828"/>
    <n v="9"/>
    <s v="Electronics"/>
    <n v="63"/>
    <n v="52"/>
    <x v="3"/>
  </r>
  <r>
    <x v="111"/>
    <s v="Female"/>
    <n v="19"/>
    <s v="18-25"/>
    <n v="40.32"/>
    <n v="850"/>
    <n v="4"/>
    <s v="Fashion"/>
    <n v="63"/>
    <n v="54"/>
    <x v="3"/>
  </r>
  <r>
    <x v="112"/>
    <s v="Female"/>
    <n v="38"/>
    <s v="36-50"/>
    <n v="46.08"/>
    <n v="850"/>
    <n v="5"/>
    <s v="Electronics"/>
    <n v="64"/>
    <n v="42"/>
    <x v="2"/>
  </r>
  <r>
    <x v="113"/>
    <s v="Male"/>
    <n v="19"/>
    <s v="18-25"/>
    <n v="44.37"/>
    <n v="850"/>
    <n v="4"/>
    <s v="Fashion"/>
    <n v="64"/>
    <n v="46"/>
    <x v="2"/>
  </r>
  <r>
    <x v="114"/>
    <s v="Female"/>
    <n v="18"/>
    <m/>
    <n v="44.2"/>
    <n v="850"/>
    <n v="4"/>
    <s v="Electronics"/>
    <n v="65"/>
    <n v="48"/>
    <x v="2"/>
  </r>
  <r>
    <x v="115"/>
    <s v="Female"/>
    <n v="19"/>
    <s v="18-25"/>
    <n v="43.33"/>
    <n v="850"/>
    <n v="4"/>
    <s v="Fashion"/>
    <n v="65"/>
    <n v="50"/>
    <x v="3"/>
  </r>
  <r>
    <x v="116"/>
    <s v="Female"/>
    <n v="63"/>
    <s v="51-65"/>
    <n v="46.37"/>
    <n v="850"/>
    <n v="8"/>
    <s v="Electronics"/>
    <n v="65"/>
    <n v="43"/>
    <x v="2"/>
  </r>
  <r>
    <x v="117"/>
    <s v="Female"/>
    <n v="49"/>
    <s v="36-50"/>
    <n v="39.43"/>
    <n v="850"/>
    <n v="7"/>
    <s v="Electronics"/>
    <n v="65"/>
    <n v="59"/>
    <x v="3"/>
  </r>
  <r>
    <x v="118"/>
    <s v="Female"/>
    <n v="51"/>
    <s v="51-65"/>
    <n v="47.79"/>
    <n v="850"/>
    <n v="7"/>
    <s v="Electronics"/>
    <n v="67"/>
    <n v="43"/>
    <x v="2"/>
  </r>
  <r>
    <x v="119"/>
    <s v="Female"/>
    <n v="50"/>
    <s v="36-50"/>
    <n v="41.54"/>
    <n v="850"/>
    <n v="7"/>
    <s v="Electronics"/>
    <n v="67"/>
    <n v="57"/>
    <x v="3"/>
  </r>
  <r>
    <x v="120"/>
    <s v="Male"/>
    <n v="27"/>
    <s v="26-35"/>
    <n v="41.99"/>
    <n v="850"/>
    <n v="5"/>
    <s v="Fashion"/>
    <n v="67"/>
    <n v="56"/>
    <x v="3"/>
  </r>
  <r>
    <x v="121"/>
    <s v="Female"/>
    <n v="38"/>
    <s v="36-50"/>
    <n v="49.13"/>
    <n v="850"/>
    <n v="5"/>
    <s v="Electronics"/>
    <n v="67"/>
    <n v="40"/>
    <x v="2"/>
  </r>
  <r>
    <x v="122"/>
    <s v="Female"/>
    <n v="40"/>
    <s v="36-50"/>
    <n v="42.32"/>
    <n v="850"/>
    <n v="6"/>
    <s v="Electronics"/>
    <n v="69"/>
    <n v="58"/>
    <x v="3"/>
  </r>
  <r>
    <x v="123"/>
    <s v="Male"/>
    <n v="39"/>
    <s v="36-50"/>
    <n v="27.14"/>
    <n v="725"/>
    <n v="8"/>
    <s v="Luxury"/>
    <n v="69"/>
    <n v="91"/>
    <x v="3"/>
  </r>
  <r>
    <x v="124"/>
    <s v="Female"/>
    <n v="23"/>
    <s v="18-25"/>
    <n v="56.47"/>
    <n v="850"/>
    <n v="3"/>
    <s v="Fashion"/>
    <n v="70"/>
    <n v="29"/>
    <x v="2"/>
  </r>
  <r>
    <x v="125"/>
    <s v="Female"/>
    <n v="31"/>
    <s v="26-35"/>
    <n v="34.07"/>
    <n v="771"/>
    <n v="6"/>
    <s v="Luxury"/>
    <n v="70"/>
    <n v="77"/>
    <x v="3"/>
  </r>
  <r>
    <x v="126"/>
    <s v="Male"/>
    <n v="43"/>
    <s v="36-50"/>
    <n v="54.43"/>
    <n v="850"/>
    <n v="6"/>
    <s v="Electronics"/>
    <n v="71"/>
    <n v="35"/>
    <x v="2"/>
  </r>
  <r>
    <x v="127"/>
    <s v="Male"/>
    <n v="40"/>
    <s v="36-50"/>
    <n v="26.03"/>
    <n v="756"/>
    <n v="8"/>
    <s v="Luxury"/>
    <n v="71"/>
    <n v="95"/>
    <x v="3"/>
  </r>
  <r>
    <x v="128"/>
    <s v="Male"/>
    <n v="59"/>
    <s v="51-65"/>
    <n v="65.790000000000006"/>
    <n v="850"/>
    <n v="6"/>
    <s v="Electronics"/>
    <n v="71"/>
    <n v="11"/>
    <x v="2"/>
  </r>
  <r>
    <x v="129"/>
    <s v="Male"/>
    <n v="38"/>
    <s v="36-50"/>
    <n v="35.5"/>
    <n v="818"/>
    <n v="7"/>
    <s v="Luxury"/>
    <n v="71"/>
    <n v="75"/>
    <x v="3"/>
  </r>
  <r>
    <x v="130"/>
    <s v="Male"/>
    <n v="47"/>
    <s v="36-50"/>
    <n v="66.739999999999995"/>
    <n v="850"/>
    <n v="5"/>
    <s v="Electronics"/>
    <n v="71"/>
    <n v="9"/>
    <x v="2"/>
  </r>
  <r>
    <x v="131"/>
    <s v="Male"/>
    <n v="39"/>
    <s v="36-50"/>
    <n v="35.5"/>
    <n v="832"/>
    <n v="7"/>
    <s v="Luxury"/>
    <n v="71"/>
    <n v="75"/>
    <x v="3"/>
  </r>
  <r>
    <x v="132"/>
    <s v="Female"/>
    <n v="25"/>
    <s v="18-25"/>
    <n v="55.68"/>
    <n v="850"/>
    <n v="4"/>
    <s v="Fashion"/>
    <n v="72"/>
    <n v="34"/>
    <x v="2"/>
  </r>
  <r>
    <x v="133"/>
    <s v="Female"/>
    <n v="31"/>
    <s v="26-35"/>
    <n v="37.92"/>
    <n v="850"/>
    <n v="6"/>
    <s v="Luxury"/>
    <n v="72"/>
    <n v="71"/>
    <x v="3"/>
  </r>
  <r>
    <x v="134"/>
    <s v="Male"/>
    <n v="20"/>
    <s v="18-25"/>
    <n v="70.569999999999993"/>
    <n v="850"/>
    <n v="2"/>
    <s v="Fashion"/>
    <n v="73"/>
    <n v="5"/>
    <x v="2"/>
  </r>
  <r>
    <x v="135"/>
    <s v="Female"/>
    <n v="29"/>
    <s v="26-35"/>
    <n v="30.17"/>
    <n v="776"/>
    <n v="7"/>
    <s v="Luxury"/>
    <n v="73"/>
    <n v="88"/>
    <x v="3"/>
  </r>
  <r>
    <x v="136"/>
    <s v="Female"/>
    <n v="44"/>
    <s v="36-50"/>
    <n v="69.59"/>
    <n v="850"/>
    <n v="4"/>
    <s v="Electronics"/>
    <n v="73"/>
    <n v="7"/>
    <x v="2"/>
  </r>
  <r>
    <x v="137"/>
    <s v="Male"/>
    <n v="32"/>
    <s v="26-35"/>
    <n v="37.47"/>
    <n v="850"/>
    <n v="6"/>
    <s v="Luxury"/>
    <n v="73"/>
    <n v="73"/>
    <x v="3"/>
  </r>
  <r>
    <x v="138"/>
    <s v="Male"/>
    <n v="19"/>
    <s v="18-25"/>
    <n v="69.069999999999993"/>
    <n v="850"/>
    <n v="2"/>
    <s v="Fashion"/>
    <n v="74"/>
    <n v="10"/>
    <x v="2"/>
  </r>
  <r>
    <x v="139"/>
    <s v="Female"/>
    <n v="35"/>
    <s v="26-35"/>
    <n v="38.479999999999997"/>
    <n v="850"/>
    <n v="7"/>
    <s v="Luxury"/>
    <n v="74"/>
    <n v="72"/>
    <x v="3"/>
  </r>
  <r>
    <x v="140"/>
    <s v="Female"/>
    <n v="57"/>
    <s v="51-65"/>
    <n v="72.5"/>
    <n v="850"/>
    <n v="5"/>
    <s v="Electronics"/>
    <n v="75"/>
    <n v="5"/>
    <x v="2"/>
  </r>
  <r>
    <x v="141"/>
    <s v="Male"/>
    <n v="32"/>
    <s v="26-35"/>
    <n v="28.5"/>
    <n v="799"/>
    <n v="7"/>
    <s v="Luxury"/>
    <n v="75"/>
    <n v="93"/>
    <x v="3"/>
  </r>
  <r>
    <x v="142"/>
    <s v="Female"/>
    <n v="28"/>
    <s v="26-35"/>
    <n v="55.73"/>
    <n v="850"/>
    <n v="4"/>
    <s v="Fashion"/>
    <n v="76"/>
    <n v="40"/>
    <x v="2"/>
  </r>
  <r>
    <x v="143"/>
    <s v="Female"/>
    <n v="32"/>
    <s v="26-35"/>
    <n v="31.92"/>
    <n v="821"/>
    <n v="7"/>
    <s v="Luxury"/>
    <n v="76"/>
    <n v="87"/>
    <x v="3"/>
  </r>
  <r>
    <x v="144"/>
    <s v="Male"/>
    <n v="25"/>
    <s v="18-25"/>
    <n v="70.84"/>
    <n v="850"/>
    <n v="3"/>
    <s v="Fashion"/>
    <n v="77"/>
    <n v="12"/>
    <x v="2"/>
  </r>
  <r>
    <x v="145"/>
    <s v="Male"/>
    <n v="28"/>
    <s v="26-35"/>
    <n v="27.21"/>
    <n v="737"/>
    <n v="7"/>
    <s v="Luxury"/>
    <n v="77"/>
    <n v="97"/>
    <x v="3"/>
  </r>
  <r>
    <x v="146"/>
    <s v="Male"/>
    <n v="48"/>
    <s v="36-50"/>
    <n v="58.52"/>
    <n v="850"/>
    <n v="6"/>
    <s v="Electronics"/>
    <n v="77"/>
    <n v="36"/>
    <x v="2"/>
  </r>
  <r>
    <x v="147"/>
    <s v="Female"/>
    <n v="32"/>
    <s v="26-35"/>
    <n v="39.01"/>
    <n v="850"/>
    <n v="6"/>
    <s v="Luxury"/>
    <n v="77"/>
    <n v="74"/>
    <x v="3"/>
  </r>
  <r>
    <x v="148"/>
    <s v="Female"/>
    <n v="34"/>
    <s v="26-35"/>
    <n v="66.56"/>
    <n v="850"/>
    <n v="4"/>
    <s v="Fashion"/>
    <n v="78"/>
    <n v="22"/>
    <x v="2"/>
  </r>
  <r>
    <x v="149"/>
    <s v="Male"/>
    <n v="34"/>
    <s v="26-35"/>
    <n v="31.2"/>
    <n v="793"/>
    <n v="7"/>
    <s v="Luxury"/>
    <n v="78"/>
    <n v="90"/>
    <x v="3"/>
  </r>
  <r>
    <x v="150"/>
    <s v="Male"/>
    <n v="43"/>
    <s v="36-50"/>
    <n v="69.16"/>
    <n v="850"/>
    <n v="5"/>
    <s v="Electronics"/>
    <n v="78"/>
    <n v="17"/>
    <x v="2"/>
  </r>
  <r>
    <x v="151"/>
    <s v="Male"/>
    <n v="39"/>
    <s v="36-50"/>
    <n v="32.24"/>
    <n v="798"/>
    <n v="8"/>
    <s v="Luxury"/>
    <n v="78"/>
    <n v="88"/>
    <x v="3"/>
  </r>
  <r>
    <x v="152"/>
    <s v="Female"/>
    <n v="44"/>
    <s v="36-50"/>
    <n v="67.599999999999994"/>
    <n v="850"/>
    <n v="5"/>
    <s v="Electronics"/>
    <n v="78"/>
    <n v="20"/>
    <x v="2"/>
  </r>
  <r>
    <x v="153"/>
    <s v="Female"/>
    <n v="38"/>
    <s v="36-50"/>
    <n v="38.479999999999997"/>
    <n v="850"/>
    <n v="7"/>
    <s v="Luxury"/>
    <n v="78"/>
    <n v="76"/>
    <x v="3"/>
  </r>
  <r>
    <x v="154"/>
    <s v="Female"/>
    <n v="47"/>
    <s v="36-50"/>
    <n v="69.680000000000007"/>
    <n v="850"/>
    <n v="5"/>
    <s v="Electronics"/>
    <n v="78"/>
    <n v="16"/>
    <x v="2"/>
  </r>
  <r>
    <x v="155"/>
    <s v="Female"/>
    <n v="27"/>
    <s v="26-35"/>
    <n v="31.72"/>
    <n v="826"/>
    <n v="7"/>
    <s v="Luxury"/>
    <n v="78"/>
    <n v="89"/>
    <x v="3"/>
  </r>
  <r>
    <x v="156"/>
    <s v="Male"/>
    <n v="37"/>
    <s v="36-50"/>
    <n v="77.48"/>
    <n v="850"/>
    <n v="3"/>
    <s v="Electronics"/>
    <n v="78"/>
    <n v="1"/>
    <x v="2"/>
  </r>
  <r>
    <x v="157"/>
    <s v="Female"/>
    <n v="30"/>
    <s v="26-35"/>
    <n v="37.44"/>
    <n v="850"/>
    <n v="6"/>
    <s v="Luxury"/>
    <n v="78"/>
    <n v="78"/>
    <x v="3"/>
  </r>
  <r>
    <x v="158"/>
    <s v="Male"/>
    <n v="34"/>
    <s v="26-35"/>
    <n v="77.48"/>
    <n v="850"/>
    <n v="3"/>
    <s v="Fashion"/>
    <n v="78"/>
    <n v="1"/>
    <x v="2"/>
  </r>
  <r>
    <x v="159"/>
    <s v="Female"/>
    <n v="30"/>
    <s v="26-35"/>
    <n v="40.04"/>
    <n v="850"/>
    <n v="6"/>
    <s v="Luxury"/>
    <n v="78"/>
    <n v="73"/>
    <x v="3"/>
  </r>
  <r>
    <x v="160"/>
    <s v="Female"/>
    <n v="56"/>
    <s v="51-65"/>
    <n v="60.57"/>
    <n v="850"/>
    <n v="7"/>
    <s v="Electronics"/>
    <n v="79"/>
    <n v="35"/>
    <x v="2"/>
  </r>
  <r>
    <x v="161"/>
    <s v="Female"/>
    <n v="29"/>
    <s v="26-35"/>
    <n v="35.29"/>
    <n v="850"/>
    <n v="7"/>
    <s v="Luxury"/>
    <n v="79"/>
    <n v="83"/>
    <x v="3"/>
  </r>
  <r>
    <x v="162"/>
    <s v="Male"/>
    <n v="19"/>
    <s v="18-25"/>
    <n v="78.3"/>
    <n v="850"/>
    <n v="2"/>
    <s v="Fashion"/>
    <n v="81"/>
    <n v="5"/>
    <x v="2"/>
  </r>
  <r>
    <x v="163"/>
    <s v="Female"/>
    <n v="31"/>
    <s v="26-35"/>
    <n v="30.78"/>
    <n v="850"/>
    <n v="7"/>
    <s v="Luxury"/>
    <n v="81"/>
    <n v="93"/>
    <x v="3"/>
  </r>
  <r>
    <x v="164"/>
    <s v="Male"/>
    <n v="50"/>
    <s v="36-50"/>
    <n v="70.27"/>
    <n v="850"/>
    <n v="6"/>
    <s v="Electronics"/>
    <n v="85"/>
    <n v="26"/>
    <x v="2"/>
  </r>
  <r>
    <x v="165"/>
    <s v="Female"/>
    <n v="36"/>
    <s v="36-50"/>
    <n v="42.5"/>
    <n v="850"/>
    <n v="7"/>
    <s v="Luxury"/>
    <n v="85"/>
    <n v="75"/>
    <x v="3"/>
  </r>
  <r>
    <x v="166"/>
    <s v="Male"/>
    <n v="42"/>
    <s v="36-50"/>
    <n v="74.53"/>
    <n v="850"/>
    <n v="5"/>
    <s v="Electronics"/>
    <n v="86"/>
    <n v="20"/>
    <x v="2"/>
  </r>
  <r>
    <x v="167"/>
    <s v="Female"/>
    <n v="33"/>
    <s v="26-35"/>
    <n v="31.53"/>
    <n v="850"/>
    <n v="8"/>
    <s v="Luxury"/>
    <n v="86"/>
    <n v="95"/>
    <x v="3"/>
  </r>
  <r>
    <x v="168"/>
    <s v="Female"/>
    <n v="36"/>
    <s v="36-50"/>
    <n v="71.34"/>
    <n v="850"/>
    <n v="4"/>
    <s v="Electronics"/>
    <n v="87"/>
    <n v="27"/>
    <x v="2"/>
  </r>
  <r>
    <x v="169"/>
    <s v="Male"/>
    <n v="32"/>
    <s v="26-35"/>
    <n v="50.46"/>
    <n v="850"/>
    <n v="6"/>
    <s v="Fashion"/>
    <n v="87"/>
    <n v="63"/>
    <x v="3"/>
  </r>
  <r>
    <x v="170"/>
    <s v="Male"/>
    <n v="40"/>
    <s v="36-50"/>
    <n v="79.459999999999994"/>
    <n v="850"/>
    <n v="4"/>
    <s v="Electronics"/>
    <n v="87"/>
    <n v="13"/>
    <x v="2"/>
  </r>
  <r>
    <x v="171"/>
    <s v="Male"/>
    <n v="28"/>
    <s v="26-35"/>
    <n v="43.5"/>
    <n v="850"/>
    <n v="6"/>
    <s v="Luxury"/>
    <n v="87"/>
    <n v="75"/>
    <x v="3"/>
  </r>
  <r>
    <x v="172"/>
    <s v="Male"/>
    <n v="36"/>
    <s v="36-50"/>
    <n v="81.2"/>
    <n v="850"/>
    <n v="4"/>
    <s v="Electronics"/>
    <n v="87"/>
    <n v="10"/>
    <x v="2"/>
  </r>
  <r>
    <x v="173"/>
    <s v="Male"/>
    <n v="36"/>
    <s v="36-50"/>
    <n v="33.64"/>
    <n v="850"/>
    <n v="8"/>
    <s v="Luxury"/>
    <n v="87"/>
    <n v="92"/>
    <x v="3"/>
  </r>
  <r>
    <x v="174"/>
    <s v="Female"/>
    <n v="52"/>
    <s v="51-65"/>
    <n v="80.37"/>
    <n v="850"/>
    <n v="5"/>
    <s v="Electronics"/>
    <n v="88"/>
    <n v="13"/>
    <x v="2"/>
  </r>
  <r>
    <x v="175"/>
    <s v="Female"/>
    <n v="30"/>
    <s v="26-35"/>
    <n v="37.549999999999997"/>
    <n v="850"/>
    <n v="7"/>
    <s v="Luxury"/>
    <n v="88"/>
    <n v="86"/>
    <x v="3"/>
  </r>
  <r>
    <x v="176"/>
    <s v="Male"/>
    <n v="58"/>
    <s v="51-65"/>
    <n v="79.2"/>
    <n v="850"/>
    <n v="6"/>
    <s v="Electronics"/>
    <n v="88"/>
    <n v="15"/>
    <x v="2"/>
  </r>
  <r>
    <x v="177"/>
    <s v="Male"/>
    <n v="27"/>
    <s v="26-35"/>
    <n v="47.52"/>
    <n v="850"/>
    <n v="6"/>
    <s v="Fashion"/>
    <n v="88"/>
    <n v="69"/>
    <x v="3"/>
  </r>
  <r>
    <x v="178"/>
    <s v="Male"/>
    <n v="59"/>
    <s v="51-65"/>
    <n v="84.32"/>
    <n v="850"/>
    <n v="6"/>
    <s v="Electronics"/>
    <n v="93"/>
    <n v="14"/>
    <x v="2"/>
  </r>
  <r>
    <x v="179"/>
    <s v="Male"/>
    <n v="35"/>
    <s v="26-35"/>
    <n v="37.200000000000003"/>
    <n v="850"/>
    <n v="8"/>
    <s v="Luxury"/>
    <n v="93"/>
    <n v="90"/>
    <x v="3"/>
  </r>
  <r>
    <x v="180"/>
    <s v="Female"/>
    <n v="37"/>
    <s v="36-50"/>
    <n v="76.31"/>
    <n v="850"/>
    <n v="5"/>
    <s v="Electronics"/>
    <n v="97"/>
    <n v="32"/>
    <x v="2"/>
  </r>
  <r>
    <x v="181"/>
    <s v="Female"/>
    <n v="32"/>
    <s v="26-35"/>
    <n v="41.39"/>
    <n v="850"/>
    <n v="7"/>
    <s v="Luxury"/>
    <n v="97"/>
    <n v="86"/>
    <x v="3"/>
  </r>
  <r>
    <x v="182"/>
    <s v="Male"/>
    <n v="46"/>
    <s v="36-50"/>
    <n v="88.2"/>
    <n v="850"/>
    <n v="5"/>
    <s v="Electronics"/>
    <n v="98"/>
    <n v="15"/>
    <x v="2"/>
  </r>
  <r>
    <x v="183"/>
    <s v="Female"/>
    <n v="29"/>
    <s v="26-35"/>
    <n v="40.51"/>
    <n v="850"/>
    <n v="7"/>
    <s v="Luxury"/>
    <n v="98"/>
    <n v="88"/>
    <x v="3"/>
  </r>
  <r>
    <x v="184"/>
    <s v="Female"/>
    <n v="41"/>
    <s v="36-50"/>
    <n v="73.260000000000005"/>
    <n v="850"/>
    <n v="6"/>
    <s v="Electronics"/>
    <n v="99"/>
    <n v="39"/>
    <x v="2"/>
  </r>
  <r>
    <x v="185"/>
    <s v="Male"/>
    <n v="30"/>
    <s v="26-35"/>
    <n v="34.979999999999997"/>
    <n v="850"/>
    <n v="7"/>
    <s v="Luxury"/>
    <n v="99"/>
    <n v="97"/>
    <x v="3"/>
  </r>
  <r>
    <x v="186"/>
    <s v="Female"/>
    <n v="54"/>
    <s v="51-65"/>
    <n v="84.84"/>
    <n v="850"/>
    <n v="6"/>
    <s v="Electronics"/>
    <n v="101"/>
    <n v="24"/>
    <x v="2"/>
  </r>
  <r>
    <x v="187"/>
    <s v="Male"/>
    <n v="28"/>
    <s v="26-35"/>
    <n v="55.21"/>
    <n v="850"/>
    <n v="6"/>
    <s v="Fashion"/>
    <n v="101"/>
    <n v="68"/>
    <x v="3"/>
  </r>
  <r>
    <x v="188"/>
    <s v="Female"/>
    <n v="41"/>
    <s v="36-50"/>
    <n v="91.33"/>
    <n v="850"/>
    <n v="4"/>
    <s v="Electronics"/>
    <n v="103"/>
    <n v="17"/>
    <x v="2"/>
  </r>
  <r>
    <x v="189"/>
    <s v="Female"/>
    <n v="36"/>
    <s v="36-50"/>
    <n v="44.63"/>
    <n v="850"/>
    <n v="7"/>
    <s v="Luxury"/>
    <n v="103"/>
    <n v="85"/>
    <x v="3"/>
  </r>
  <r>
    <x v="190"/>
    <s v="Female"/>
    <n v="34"/>
    <s v="26-35"/>
    <n v="87.21"/>
    <n v="850"/>
    <n v="4"/>
    <s v="Fashion"/>
    <n v="103"/>
    <n v="23"/>
    <x v="2"/>
  </r>
  <r>
    <x v="191"/>
    <s v="Female"/>
    <n v="32"/>
    <s v="26-35"/>
    <n v="55.62"/>
    <n v="850"/>
    <n v="6"/>
    <s v="Fashion"/>
    <n v="103"/>
    <n v="69"/>
    <x v="3"/>
  </r>
  <r>
    <x v="192"/>
    <s v="Male"/>
    <n v="33"/>
    <s v="26-35"/>
    <n v="106.97"/>
    <n v="850"/>
    <n v="3"/>
    <s v="Fashion"/>
    <n v="113"/>
    <n v="8"/>
    <x v="2"/>
  </r>
  <r>
    <x v="193"/>
    <s v="Female"/>
    <n v="38"/>
    <s v="36-50"/>
    <n v="44.45"/>
    <n v="850"/>
    <n v="8"/>
    <s v="Luxury"/>
    <n v="113"/>
    <n v="91"/>
    <x v="3"/>
  </r>
  <r>
    <x v="194"/>
    <s v="Female"/>
    <n v="47"/>
    <s v="36-50"/>
    <n v="107.2"/>
    <n v="850"/>
    <n v="5"/>
    <s v="Electronics"/>
    <n v="120"/>
    <n v="16"/>
    <x v="2"/>
  </r>
  <r>
    <x v="195"/>
    <s v="Female"/>
    <n v="35"/>
    <s v="26-35"/>
    <n v="56.8"/>
    <n v="850"/>
    <n v="7"/>
    <s v="Luxury"/>
    <n v="120"/>
    <n v="79"/>
    <x v="3"/>
  </r>
  <r>
    <x v="196"/>
    <s v="Female"/>
    <n v="45"/>
    <s v="36-50"/>
    <n v="102.48"/>
    <n v="850"/>
    <n v="5"/>
    <s v="Electronics"/>
    <n v="126"/>
    <n v="28"/>
    <x v="2"/>
  </r>
  <r>
    <x v="197"/>
    <s v="Male"/>
    <n v="32"/>
    <s v="26-35"/>
    <n v="63.84"/>
    <n v="850"/>
    <n v="6"/>
    <s v="Luxury"/>
    <n v="126"/>
    <n v="74"/>
    <x v="3"/>
  </r>
  <r>
    <x v="198"/>
    <s v="Male"/>
    <n v="32"/>
    <s v="26-35"/>
    <n v="120.56"/>
    <n v="850"/>
    <n v="4"/>
    <s v="Fashion"/>
    <n v="137"/>
    <n v="18"/>
    <x v="2"/>
  </r>
  <r>
    <x v="199"/>
    <s v="Male"/>
    <n v="30"/>
    <s v="26-35"/>
    <n v="61.19"/>
    <n v="850"/>
    <n v="7"/>
    <s v="Luxury"/>
    <n v="137"/>
    <n v="83"/>
    <x v="3"/>
  </r>
  <r>
    <x v="200"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BA0A8-CA3F-004C-8848-E0CA86487B4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1">
    <pivotField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x="2"/>
        <item x="1"/>
        <item x="0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egment_Customer" fld="1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FB3A-6D9E-4344-81C3-E5522A2E43D9}">
  <dimension ref="A3:B9"/>
  <sheetViews>
    <sheetView tabSelected="1" workbookViewId="0">
      <selection activeCell="F39" sqref="F39"/>
    </sheetView>
  </sheetViews>
  <sheetFormatPr baseColWidth="10" defaultRowHeight="16" x14ac:dyDescent="0.2"/>
  <cols>
    <col min="1" max="1" width="48.1640625" bestFit="1" customWidth="1"/>
    <col min="2" max="2" width="25" bestFit="1" customWidth="1"/>
  </cols>
  <sheetData>
    <row r="3" spans="1:2" x14ac:dyDescent="0.2">
      <c r="A3" s="5" t="s">
        <v>24</v>
      </c>
      <c r="B3" t="s">
        <v>27</v>
      </c>
    </row>
    <row r="4" spans="1:2" x14ac:dyDescent="0.2">
      <c r="A4" s="6" t="s">
        <v>28</v>
      </c>
      <c r="B4" s="7">
        <v>50</v>
      </c>
    </row>
    <row r="5" spans="1:2" x14ac:dyDescent="0.2">
      <c r="A5" s="6" t="s">
        <v>29</v>
      </c>
      <c r="B5" s="7">
        <v>50</v>
      </c>
    </row>
    <row r="6" spans="1:2" x14ac:dyDescent="0.2">
      <c r="A6" s="6" t="s">
        <v>30</v>
      </c>
      <c r="B6" s="7">
        <v>52</v>
      </c>
    </row>
    <row r="7" spans="1:2" x14ac:dyDescent="0.2">
      <c r="A7" s="6" t="s">
        <v>31</v>
      </c>
      <c r="B7" s="7">
        <v>48</v>
      </c>
    </row>
    <row r="8" spans="1:2" x14ac:dyDescent="0.2">
      <c r="A8" s="6" t="s">
        <v>25</v>
      </c>
      <c r="B8" s="7"/>
    </row>
    <row r="9" spans="1:2" x14ac:dyDescent="0.2">
      <c r="A9" s="6" t="s">
        <v>26</v>
      </c>
      <c r="B9" s="7">
        <v>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BADA-E664-8A4D-8B5B-C4C3F8689F3A}">
  <dimension ref="A1:N201"/>
  <sheetViews>
    <sheetView topLeftCell="D1" workbookViewId="0">
      <selection activeCell="K3" sqref="K3"/>
    </sheetView>
  </sheetViews>
  <sheetFormatPr baseColWidth="10" defaultRowHeight="16" x14ac:dyDescent="0.2"/>
  <cols>
    <col min="1" max="1" width="13.1640625" bestFit="1" customWidth="1"/>
    <col min="2" max="2" width="9.6640625" bestFit="1" customWidth="1"/>
    <col min="3" max="3" width="6.83203125" bestFit="1" customWidth="1"/>
    <col min="4" max="4" width="12.33203125" bestFit="1" customWidth="1"/>
    <col min="5" max="5" width="22.5" bestFit="1" customWidth="1"/>
    <col min="6" max="6" width="13.5" bestFit="1" customWidth="1"/>
    <col min="7" max="7" width="14.33203125" bestFit="1" customWidth="1"/>
    <col min="8" max="8" width="19.1640625" bestFit="1" customWidth="1"/>
    <col min="9" max="9" width="19.6640625" bestFit="1" customWidth="1"/>
    <col min="10" max="10" width="22.83203125" bestFit="1" customWidth="1"/>
    <col min="11" max="11" width="48.1640625" bestFit="1" customWidth="1"/>
    <col min="12" max="12" width="5.5" customWidth="1"/>
    <col min="13" max="13" width="28.1640625" bestFit="1" customWidth="1"/>
    <col min="14" max="14" width="6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ht="17" thickBot="1" x14ac:dyDescent="0.25">
      <c r="A2">
        <v>1</v>
      </c>
      <c r="B2" t="s">
        <v>11</v>
      </c>
      <c r="C2">
        <v>19</v>
      </c>
      <c r="D2" t="s">
        <v>12</v>
      </c>
      <c r="E2">
        <v>11.1</v>
      </c>
      <c r="F2">
        <v>456</v>
      </c>
      <c r="G2">
        <v>3</v>
      </c>
      <c r="H2" t="s">
        <v>13</v>
      </c>
      <c r="I2">
        <v>15</v>
      </c>
      <c r="J2">
        <v>39</v>
      </c>
      <c r="K2" t="str">
        <f t="shared" ref="K2:K33" si="0">IF(AND(I2&gt;=$N$3,J2&gt;=$N$4), "1. VIP / high income &amp; high spend (main target)", IF(AND(I2&gt;=$N$3,J2&lt;$N$4), "2. high income &amp; low spend (high potential)", IF(AND(I2&lt;$N$3,J2&gt;=$N$4), "3. low income &amp; high spend (regular customer/shopper)", "4. low income &amp; low spend (economy class)")))</f>
        <v>4. low income &amp; low spend (economy class)</v>
      </c>
    </row>
    <row r="3" spans="1:14" x14ac:dyDescent="0.2">
      <c r="A3">
        <v>2</v>
      </c>
      <c r="B3" t="s">
        <v>11</v>
      </c>
      <c r="C3">
        <v>21</v>
      </c>
      <c r="D3" t="s">
        <v>12</v>
      </c>
      <c r="E3">
        <v>6.9</v>
      </c>
      <c r="F3">
        <v>300</v>
      </c>
      <c r="G3">
        <v>6</v>
      </c>
      <c r="H3" t="s">
        <v>14</v>
      </c>
      <c r="I3">
        <v>15</v>
      </c>
      <c r="J3">
        <v>81</v>
      </c>
      <c r="K3" t="str">
        <f t="shared" si="0"/>
        <v>3. low income &amp; high spend (regular customer/shopper)</v>
      </c>
      <c r="M3" s="4" t="s">
        <v>15</v>
      </c>
      <c r="N3" s="3">
        <f>MEDIAN(I1:I201)</f>
        <v>61.5</v>
      </c>
    </row>
    <row r="4" spans="1:14" ht="17" thickBot="1" x14ac:dyDescent="0.25">
      <c r="A4">
        <v>3</v>
      </c>
      <c r="B4" t="s">
        <v>16</v>
      </c>
      <c r="C4">
        <v>20</v>
      </c>
      <c r="D4" t="s">
        <v>12</v>
      </c>
      <c r="E4">
        <v>15.36</v>
      </c>
      <c r="F4">
        <v>594</v>
      </c>
      <c r="G4">
        <v>2</v>
      </c>
      <c r="H4" t="s">
        <v>13</v>
      </c>
      <c r="I4">
        <v>16</v>
      </c>
      <c r="J4">
        <v>6</v>
      </c>
      <c r="K4" t="str">
        <f t="shared" si="0"/>
        <v>4. low income &amp; low spend (economy class)</v>
      </c>
      <c r="M4" s="2" t="s">
        <v>17</v>
      </c>
      <c r="N4" s="1">
        <f>MEDIAN(J1:J201)</f>
        <v>50</v>
      </c>
    </row>
    <row r="5" spans="1:14" x14ac:dyDescent="0.2">
      <c r="A5">
        <v>4</v>
      </c>
      <c r="B5" t="s">
        <v>16</v>
      </c>
      <c r="C5">
        <v>23</v>
      </c>
      <c r="D5" t="s">
        <v>12</v>
      </c>
      <c r="E5">
        <v>7.79</v>
      </c>
      <c r="F5">
        <v>300</v>
      </c>
      <c r="G5">
        <v>6</v>
      </c>
      <c r="H5" t="s">
        <v>14</v>
      </c>
      <c r="I5">
        <v>16</v>
      </c>
      <c r="J5">
        <v>77</v>
      </c>
      <c r="K5" t="str">
        <f t="shared" si="0"/>
        <v>3. low income &amp; high spend (regular customer/shopper)</v>
      </c>
    </row>
    <row r="6" spans="1:14" x14ac:dyDescent="0.2">
      <c r="A6">
        <v>5</v>
      </c>
      <c r="B6" t="s">
        <v>16</v>
      </c>
      <c r="C6">
        <v>31</v>
      </c>
      <c r="D6" t="s">
        <v>18</v>
      </c>
      <c r="E6">
        <v>12.47</v>
      </c>
      <c r="F6">
        <v>480</v>
      </c>
      <c r="G6">
        <v>5</v>
      </c>
      <c r="H6" t="s">
        <v>13</v>
      </c>
      <c r="I6">
        <v>17</v>
      </c>
      <c r="J6">
        <v>40</v>
      </c>
      <c r="K6" t="str">
        <f t="shared" si="0"/>
        <v>4. low income &amp; low spend (economy class)</v>
      </c>
    </row>
    <row r="7" spans="1:14" x14ac:dyDescent="0.2">
      <c r="A7">
        <v>6</v>
      </c>
      <c r="B7" t="s">
        <v>16</v>
      </c>
      <c r="C7">
        <v>22</v>
      </c>
      <c r="D7" t="s">
        <v>12</v>
      </c>
      <c r="E7">
        <v>8.39</v>
      </c>
      <c r="F7">
        <v>300</v>
      </c>
      <c r="G7">
        <v>6</v>
      </c>
      <c r="H7" t="s">
        <v>14</v>
      </c>
      <c r="I7">
        <v>17</v>
      </c>
      <c r="J7">
        <v>76</v>
      </c>
      <c r="K7" t="str">
        <f t="shared" si="0"/>
        <v>3. low income &amp; high spend (regular customer/shopper)</v>
      </c>
    </row>
    <row r="8" spans="1:14" x14ac:dyDescent="0.2">
      <c r="A8">
        <v>7</v>
      </c>
      <c r="B8" t="s">
        <v>16</v>
      </c>
      <c r="C8">
        <v>35</v>
      </c>
      <c r="D8" t="s">
        <v>18</v>
      </c>
      <c r="E8">
        <v>17.28</v>
      </c>
      <c r="F8">
        <v>682</v>
      </c>
      <c r="G8">
        <v>3</v>
      </c>
      <c r="H8" t="s">
        <v>13</v>
      </c>
      <c r="I8">
        <v>18</v>
      </c>
      <c r="J8">
        <v>6</v>
      </c>
      <c r="K8" t="str">
        <f t="shared" si="0"/>
        <v>4. low income &amp; low spend (economy class)</v>
      </c>
    </row>
    <row r="9" spans="1:14" x14ac:dyDescent="0.2">
      <c r="A9">
        <v>8</v>
      </c>
      <c r="B9" t="s">
        <v>16</v>
      </c>
      <c r="C9">
        <v>23</v>
      </c>
      <c r="D9" t="s">
        <v>12</v>
      </c>
      <c r="E9">
        <v>6.72</v>
      </c>
      <c r="F9">
        <v>300</v>
      </c>
      <c r="G9">
        <v>7</v>
      </c>
      <c r="H9" t="s">
        <v>14</v>
      </c>
      <c r="I9">
        <v>18</v>
      </c>
      <c r="J9">
        <v>94</v>
      </c>
      <c r="K9" t="str">
        <f t="shared" si="0"/>
        <v>3. low income &amp; high spend (regular customer/shopper)</v>
      </c>
    </row>
    <row r="10" spans="1:14" x14ac:dyDescent="0.2">
      <c r="A10">
        <v>9</v>
      </c>
      <c r="B10" t="s">
        <v>11</v>
      </c>
      <c r="C10">
        <v>64</v>
      </c>
      <c r="D10" t="s">
        <v>19</v>
      </c>
      <c r="E10">
        <v>18.62</v>
      </c>
      <c r="F10">
        <v>699</v>
      </c>
      <c r="G10">
        <v>6</v>
      </c>
      <c r="H10" t="s">
        <v>13</v>
      </c>
      <c r="I10">
        <v>19</v>
      </c>
      <c r="J10">
        <v>3</v>
      </c>
      <c r="K10" t="str">
        <f t="shared" si="0"/>
        <v>4. low income &amp; low spend (economy class)</v>
      </c>
    </row>
    <row r="11" spans="1:14" x14ac:dyDescent="0.2">
      <c r="A11">
        <v>10</v>
      </c>
      <c r="B11" t="s">
        <v>16</v>
      </c>
      <c r="C11">
        <v>30</v>
      </c>
      <c r="D11" t="s">
        <v>18</v>
      </c>
      <c r="E11">
        <v>9.8800000000000008</v>
      </c>
      <c r="F11">
        <v>354</v>
      </c>
      <c r="G11">
        <v>6</v>
      </c>
      <c r="H11" t="s">
        <v>14</v>
      </c>
      <c r="I11">
        <v>19</v>
      </c>
      <c r="J11">
        <v>72</v>
      </c>
      <c r="K11" t="str">
        <f t="shared" si="0"/>
        <v>3. low income &amp; high spend (regular customer/shopper)</v>
      </c>
    </row>
    <row r="12" spans="1:14" x14ac:dyDescent="0.2">
      <c r="A12">
        <v>11</v>
      </c>
      <c r="B12" t="s">
        <v>11</v>
      </c>
      <c r="C12">
        <v>67</v>
      </c>
      <c r="D12" t="s">
        <v>20</v>
      </c>
      <c r="E12">
        <v>17.23</v>
      </c>
      <c r="F12">
        <v>657</v>
      </c>
      <c r="G12">
        <v>7</v>
      </c>
      <c r="H12" t="s">
        <v>13</v>
      </c>
      <c r="I12">
        <v>19</v>
      </c>
      <c r="J12">
        <v>14</v>
      </c>
      <c r="K12" t="str">
        <f t="shared" si="0"/>
        <v>4. low income &amp; low spend (economy class)</v>
      </c>
    </row>
    <row r="13" spans="1:14" x14ac:dyDescent="0.2">
      <c r="A13">
        <v>12</v>
      </c>
      <c r="B13" t="s">
        <v>16</v>
      </c>
      <c r="C13">
        <v>35</v>
      </c>
      <c r="D13" t="s">
        <v>18</v>
      </c>
      <c r="E13">
        <v>6.46</v>
      </c>
      <c r="F13">
        <v>300</v>
      </c>
      <c r="G13">
        <v>8</v>
      </c>
      <c r="H13" t="s">
        <v>14</v>
      </c>
      <c r="I13">
        <v>19</v>
      </c>
      <c r="J13">
        <v>99</v>
      </c>
      <c r="K13" t="str">
        <f t="shared" si="0"/>
        <v>3. low income &amp; high spend (regular customer/shopper)</v>
      </c>
    </row>
    <row r="14" spans="1:14" x14ac:dyDescent="0.2">
      <c r="A14">
        <v>13</v>
      </c>
      <c r="B14" t="s">
        <v>16</v>
      </c>
      <c r="C14">
        <v>58</v>
      </c>
      <c r="D14" t="s">
        <v>19</v>
      </c>
      <c r="E14">
        <v>18</v>
      </c>
      <c r="F14">
        <v>598</v>
      </c>
      <c r="G14">
        <v>6</v>
      </c>
      <c r="H14" t="s">
        <v>13</v>
      </c>
      <c r="I14">
        <v>20</v>
      </c>
      <c r="J14">
        <v>15</v>
      </c>
      <c r="K14" t="str">
        <f t="shared" si="0"/>
        <v>4. low income &amp; low spend (economy class)</v>
      </c>
    </row>
    <row r="15" spans="1:14" x14ac:dyDescent="0.2">
      <c r="A15">
        <v>14</v>
      </c>
      <c r="B15" t="s">
        <v>16</v>
      </c>
      <c r="C15">
        <v>24</v>
      </c>
      <c r="D15" t="s">
        <v>12</v>
      </c>
      <c r="E15">
        <v>9.73</v>
      </c>
      <c r="F15">
        <v>300</v>
      </c>
      <c r="G15">
        <v>6</v>
      </c>
      <c r="H15" t="s">
        <v>14</v>
      </c>
      <c r="I15">
        <v>20</v>
      </c>
      <c r="J15">
        <v>77</v>
      </c>
      <c r="K15" t="str">
        <f t="shared" si="0"/>
        <v>3. low income &amp; high spend (regular customer/shopper)</v>
      </c>
    </row>
    <row r="16" spans="1:14" x14ac:dyDescent="0.2">
      <c r="A16">
        <v>15</v>
      </c>
      <c r="B16" t="s">
        <v>11</v>
      </c>
      <c r="C16">
        <v>37</v>
      </c>
      <c r="D16" t="s">
        <v>21</v>
      </c>
      <c r="E16">
        <v>18.27</v>
      </c>
      <c r="F16">
        <v>606</v>
      </c>
      <c r="G16">
        <v>4</v>
      </c>
      <c r="H16" t="s">
        <v>13</v>
      </c>
      <c r="I16">
        <v>20</v>
      </c>
      <c r="J16">
        <v>13</v>
      </c>
      <c r="K16" t="str">
        <f t="shared" si="0"/>
        <v>4. low income &amp; low spend (economy class)</v>
      </c>
    </row>
    <row r="17" spans="1:11" x14ac:dyDescent="0.2">
      <c r="A17">
        <v>16</v>
      </c>
      <c r="B17" t="s">
        <v>11</v>
      </c>
      <c r="C17">
        <v>22</v>
      </c>
      <c r="D17" t="s">
        <v>12</v>
      </c>
      <c r="E17">
        <v>9.4700000000000006</v>
      </c>
      <c r="F17">
        <v>307</v>
      </c>
      <c r="G17">
        <v>6</v>
      </c>
      <c r="H17" t="s">
        <v>14</v>
      </c>
      <c r="I17">
        <v>20</v>
      </c>
      <c r="J17">
        <v>79</v>
      </c>
      <c r="K17" t="str">
        <f t="shared" si="0"/>
        <v>3. low income &amp; high spend (regular customer/shopper)</v>
      </c>
    </row>
    <row r="18" spans="1:11" x14ac:dyDescent="0.2">
      <c r="A18">
        <v>17</v>
      </c>
      <c r="B18" t="s">
        <v>16</v>
      </c>
      <c r="C18">
        <v>35</v>
      </c>
      <c r="D18" t="s">
        <v>18</v>
      </c>
      <c r="E18">
        <v>16.100000000000001</v>
      </c>
      <c r="F18">
        <v>486</v>
      </c>
      <c r="G18">
        <v>5</v>
      </c>
      <c r="H18" t="s">
        <v>13</v>
      </c>
      <c r="I18">
        <v>21</v>
      </c>
      <c r="J18">
        <v>35</v>
      </c>
      <c r="K18" t="str">
        <f t="shared" si="0"/>
        <v>4. low income &amp; low spend (economy class)</v>
      </c>
    </row>
    <row r="19" spans="1:11" x14ac:dyDescent="0.2">
      <c r="A19">
        <v>18</v>
      </c>
      <c r="B19" t="s">
        <v>11</v>
      </c>
      <c r="C19">
        <v>20</v>
      </c>
      <c r="D19" t="s">
        <v>12</v>
      </c>
      <c r="E19">
        <v>11.76</v>
      </c>
      <c r="F19">
        <v>417</v>
      </c>
      <c r="G19">
        <v>5</v>
      </c>
      <c r="H19" t="s">
        <v>13</v>
      </c>
      <c r="I19">
        <v>21</v>
      </c>
      <c r="J19">
        <v>66</v>
      </c>
      <c r="K19" t="str">
        <f t="shared" si="0"/>
        <v>3. low income &amp; high spend (regular customer/shopper)</v>
      </c>
    </row>
    <row r="20" spans="1:11" x14ac:dyDescent="0.2">
      <c r="A20">
        <v>19</v>
      </c>
      <c r="B20" t="s">
        <v>11</v>
      </c>
      <c r="C20">
        <v>52</v>
      </c>
      <c r="D20" t="s">
        <v>19</v>
      </c>
      <c r="E20">
        <v>18.55</v>
      </c>
      <c r="F20">
        <v>564</v>
      </c>
      <c r="G20">
        <v>6</v>
      </c>
      <c r="H20" t="s">
        <v>13</v>
      </c>
      <c r="I20">
        <v>23</v>
      </c>
      <c r="J20">
        <v>29</v>
      </c>
      <c r="K20" t="str">
        <f t="shared" si="0"/>
        <v>4. low income &amp; low spend (economy class)</v>
      </c>
    </row>
    <row r="21" spans="1:11" x14ac:dyDescent="0.2">
      <c r="A21">
        <v>20</v>
      </c>
      <c r="B21" t="s">
        <v>16</v>
      </c>
      <c r="C21">
        <v>35</v>
      </c>
      <c r="D21" t="s">
        <v>18</v>
      </c>
      <c r="E21">
        <v>7.97</v>
      </c>
      <c r="F21">
        <v>300</v>
      </c>
      <c r="G21">
        <v>8</v>
      </c>
      <c r="H21" t="s">
        <v>14</v>
      </c>
      <c r="I21">
        <v>23</v>
      </c>
      <c r="J21">
        <v>98</v>
      </c>
      <c r="K21" t="str">
        <f t="shared" si="0"/>
        <v>3. low income &amp; high spend (regular customer/shopper)</v>
      </c>
    </row>
    <row r="22" spans="1:11" x14ac:dyDescent="0.2">
      <c r="A22">
        <v>21</v>
      </c>
      <c r="B22" t="s">
        <v>11</v>
      </c>
      <c r="C22">
        <v>35</v>
      </c>
      <c r="D22" t="s">
        <v>18</v>
      </c>
      <c r="E22">
        <v>18.399999999999999</v>
      </c>
      <c r="F22">
        <v>516</v>
      </c>
      <c r="G22">
        <v>5</v>
      </c>
      <c r="H22" t="s">
        <v>13</v>
      </c>
      <c r="I22">
        <v>24</v>
      </c>
      <c r="J22">
        <v>35</v>
      </c>
      <c r="K22" t="str">
        <f t="shared" si="0"/>
        <v>4. low income &amp; low spend (economy class)</v>
      </c>
    </row>
    <row r="23" spans="1:11" x14ac:dyDescent="0.2">
      <c r="A23">
        <v>22</v>
      </c>
      <c r="B23" t="s">
        <v>11</v>
      </c>
      <c r="C23">
        <v>25</v>
      </c>
      <c r="D23" t="s">
        <v>12</v>
      </c>
      <c r="E23">
        <v>12.32</v>
      </c>
      <c r="F23">
        <v>388</v>
      </c>
      <c r="G23">
        <v>6</v>
      </c>
      <c r="H23" t="s">
        <v>14</v>
      </c>
      <c r="I23">
        <v>24</v>
      </c>
      <c r="J23">
        <v>73</v>
      </c>
      <c r="K23" t="str">
        <f t="shared" si="0"/>
        <v>3. low income &amp; high spend (regular customer/shopper)</v>
      </c>
    </row>
    <row r="24" spans="1:11" x14ac:dyDescent="0.2">
      <c r="A24">
        <v>23</v>
      </c>
      <c r="B24" t="s">
        <v>16</v>
      </c>
      <c r="C24">
        <v>46</v>
      </c>
      <c r="D24" t="s">
        <v>21</v>
      </c>
      <c r="E24">
        <v>24.17</v>
      </c>
      <c r="F24">
        <v>734</v>
      </c>
      <c r="G24">
        <v>4</v>
      </c>
      <c r="H24" t="s">
        <v>13</v>
      </c>
      <c r="I24">
        <v>25</v>
      </c>
      <c r="J24">
        <v>5</v>
      </c>
      <c r="K24" t="str">
        <f t="shared" si="0"/>
        <v>4. low income &amp; low spend (economy class)</v>
      </c>
    </row>
    <row r="25" spans="1:11" x14ac:dyDescent="0.2">
      <c r="A25">
        <v>24</v>
      </c>
      <c r="B25" t="s">
        <v>11</v>
      </c>
      <c r="C25">
        <v>31</v>
      </c>
      <c r="D25" t="s">
        <v>18</v>
      </c>
      <c r="E25">
        <v>12.83</v>
      </c>
      <c r="F25">
        <v>355</v>
      </c>
      <c r="G25">
        <v>6</v>
      </c>
      <c r="H25" t="s">
        <v>14</v>
      </c>
      <c r="I25">
        <v>25</v>
      </c>
      <c r="J25">
        <v>73</v>
      </c>
      <c r="K25" t="str">
        <f t="shared" si="0"/>
        <v>3. low income &amp; high spend (regular customer/shopper)</v>
      </c>
    </row>
    <row r="26" spans="1:11" x14ac:dyDescent="0.2">
      <c r="A26">
        <v>25</v>
      </c>
      <c r="B26" t="s">
        <v>16</v>
      </c>
      <c r="C26">
        <v>54</v>
      </c>
      <c r="D26" t="s">
        <v>19</v>
      </c>
      <c r="E26">
        <v>25.39</v>
      </c>
      <c r="F26">
        <v>692</v>
      </c>
      <c r="G26">
        <v>6</v>
      </c>
      <c r="H26" t="s">
        <v>13</v>
      </c>
      <c r="I26">
        <v>28</v>
      </c>
      <c r="J26">
        <v>14</v>
      </c>
      <c r="K26" t="str">
        <f t="shared" si="0"/>
        <v>4. low income &amp; low spend (economy class)</v>
      </c>
    </row>
    <row r="27" spans="1:11" x14ac:dyDescent="0.2">
      <c r="A27">
        <v>26</v>
      </c>
      <c r="B27" t="s">
        <v>11</v>
      </c>
      <c r="C27">
        <v>29</v>
      </c>
      <c r="D27" t="s">
        <v>18</v>
      </c>
      <c r="E27">
        <v>12.69</v>
      </c>
      <c r="F27">
        <v>395</v>
      </c>
      <c r="G27">
        <v>7</v>
      </c>
      <c r="H27" t="s">
        <v>14</v>
      </c>
      <c r="I27">
        <v>28</v>
      </c>
      <c r="J27">
        <v>82</v>
      </c>
      <c r="K27" t="str">
        <f t="shared" si="0"/>
        <v>3. low income &amp; high spend (regular customer/shopper)</v>
      </c>
    </row>
    <row r="28" spans="1:11" x14ac:dyDescent="0.2">
      <c r="A28">
        <v>27</v>
      </c>
      <c r="B28" t="s">
        <v>16</v>
      </c>
      <c r="C28">
        <v>45</v>
      </c>
      <c r="D28" t="s">
        <v>21</v>
      </c>
      <c r="E28">
        <v>22.03</v>
      </c>
      <c r="F28">
        <v>627</v>
      </c>
      <c r="G28">
        <v>6</v>
      </c>
      <c r="H28" t="s">
        <v>13</v>
      </c>
      <c r="I28">
        <v>28</v>
      </c>
      <c r="J28">
        <v>32</v>
      </c>
      <c r="K28" t="str">
        <f t="shared" si="0"/>
        <v>4. low income &amp; low spend (economy class)</v>
      </c>
    </row>
    <row r="29" spans="1:11" x14ac:dyDescent="0.2">
      <c r="A29">
        <v>28</v>
      </c>
      <c r="B29" t="s">
        <v>11</v>
      </c>
      <c r="C29">
        <v>35</v>
      </c>
      <c r="D29" t="s">
        <v>18</v>
      </c>
      <c r="E29">
        <v>16.61</v>
      </c>
      <c r="F29">
        <v>446</v>
      </c>
      <c r="G29">
        <v>6</v>
      </c>
      <c r="H29" t="s">
        <v>13</v>
      </c>
      <c r="I29">
        <v>28</v>
      </c>
      <c r="J29">
        <v>61</v>
      </c>
      <c r="K29" t="str">
        <f t="shared" si="0"/>
        <v>3. low income &amp; high spend (regular customer/shopper)</v>
      </c>
    </row>
    <row r="30" spans="1:11" x14ac:dyDescent="0.2">
      <c r="A30">
        <v>29</v>
      </c>
      <c r="B30" t="s">
        <v>16</v>
      </c>
      <c r="C30">
        <v>40</v>
      </c>
      <c r="D30" t="s">
        <v>21</v>
      </c>
      <c r="E30">
        <v>23.01</v>
      </c>
      <c r="F30">
        <v>673</v>
      </c>
      <c r="G30">
        <v>5</v>
      </c>
      <c r="H30" t="s">
        <v>13</v>
      </c>
      <c r="I30">
        <v>29</v>
      </c>
      <c r="J30">
        <v>31</v>
      </c>
      <c r="K30" t="str">
        <f t="shared" si="0"/>
        <v>4. low income &amp; low spend (economy class)</v>
      </c>
    </row>
    <row r="31" spans="1:11" x14ac:dyDescent="0.2">
      <c r="A31">
        <v>30</v>
      </c>
      <c r="B31" t="s">
        <v>16</v>
      </c>
      <c r="C31">
        <v>23</v>
      </c>
      <c r="D31" t="s">
        <v>12</v>
      </c>
      <c r="E31">
        <v>12.18</v>
      </c>
      <c r="F31">
        <v>353</v>
      </c>
      <c r="G31">
        <v>6</v>
      </c>
      <c r="H31" t="s">
        <v>14</v>
      </c>
      <c r="I31">
        <v>29</v>
      </c>
      <c r="J31">
        <v>87</v>
      </c>
      <c r="K31" t="str">
        <f t="shared" si="0"/>
        <v>3. low income &amp; high spend (regular customer/shopper)</v>
      </c>
    </row>
    <row r="32" spans="1:11" x14ac:dyDescent="0.2">
      <c r="A32">
        <v>31</v>
      </c>
      <c r="B32" t="s">
        <v>11</v>
      </c>
      <c r="C32">
        <v>60</v>
      </c>
      <c r="D32" t="s">
        <v>19</v>
      </c>
      <c r="E32">
        <v>29.2</v>
      </c>
      <c r="F32">
        <v>820</v>
      </c>
      <c r="G32">
        <v>6</v>
      </c>
      <c r="H32" t="s">
        <v>13</v>
      </c>
      <c r="I32">
        <v>30</v>
      </c>
      <c r="J32">
        <v>4</v>
      </c>
      <c r="K32" t="str">
        <f t="shared" si="0"/>
        <v>4. low income &amp; low spend (economy class)</v>
      </c>
    </row>
    <row r="33" spans="1:11" x14ac:dyDescent="0.2">
      <c r="A33">
        <v>32</v>
      </c>
      <c r="B33" t="s">
        <v>16</v>
      </c>
      <c r="C33">
        <v>21</v>
      </c>
      <c r="D33" t="s">
        <v>12</v>
      </c>
      <c r="E33">
        <v>15.4</v>
      </c>
      <c r="F33">
        <v>443</v>
      </c>
      <c r="G33">
        <v>5</v>
      </c>
      <c r="H33" t="s">
        <v>14</v>
      </c>
      <c r="I33">
        <v>30</v>
      </c>
      <c r="J33">
        <v>73</v>
      </c>
      <c r="K33" t="str">
        <f t="shared" si="0"/>
        <v>3. low income &amp; high spend (regular customer/shopper)</v>
      </c>
    </row>
    <row r="34" spans="1:11" x14ac:dyDescent="0.2">
      <c r="A34">
        <v>33</v>
      </c>
      <c r="B34" t="s">
        <v>11</v>
      </c>
      <c r="C34">
        <v>53</v>
      </c>
      <c r="D34" t="s">
        <v>19</v>
      </c>
      <c r="E34">
        <v>32.119999999999997</v>
      </c>
      <c r="F34">
        <v>801</v>
      </c>
      <c r="G34">
        <v>5</v>
      </c>
      <c r="H34" t="s">
        <v>13</v>
      </c>
      <c r="I34">
        <v>33</v>
      </c>
      <c r="J34">
        <v>4</v>
      </c>
      <c r="K34" t="str">
        <f t="shared" ref="K34:K65" si="1">IF(AND(I34&gt;=$N$3,J34&gt;=$N$4), "1. VIP / high income &amp; high spend (main target)", IF(AND(I34&gt;=$N$3,J34&lt;$N$4), "2. high income &amp; low spend (high potential)", IF(AND(I34&lt;$N$3,J34&gt;=$N$4), "3. low income &amp; high spend (regular customer/shopper)", "4. low income &amp; low spend (economy class)")))</f>
        <v>4. low income &amp; low spend (economy class)</v>
      </c>
    </row>
    <row r="35" spans="1:11" x14ac:dyDescent="0.2">
      <c r="A35">
        <v>34</v>
      </c>
      <c r="B35" t="s">
        <v>11</v>
      </c>
      <c r="C35">
        <v>18</v>
      </c>
      <c r="E35">
        <v>12.76</v>
      </c>
      <c r="F35">
        <v>411</v>
      </c>
      <c r="G35">
        <v>6</v>
      </c>
      <c r="H35" t="s">
        <v>14</v>
      </c>
      <c r="I35">
        <v>33</v>
      </c>
      <c r="J35">
        <v>92</v>
      </c>
      <c r="K35" t="str">
        <f t="shared" si="1"/>
        <v>3. low income &amp; high spend (regular customer/shopper)</v>
      </c>
    </row>
    <row r="36" spans="1:11" x14ac:dyDescent="0.2">
      <c r="A36">
        <v>35</v>
      </c>
      <c r="B36" t="s">
        <v>16</v>
      </c>
      <c r="C36">
        <v>49</v>
      </c>
      <c r="D36" t="s">
        <v>21</v>
      </c>
      <c r="E36">
        <v>29.92</v>
      </c>
      <c r="F36">
        <v>769</v>
      </c>
      <c r="G36">
        <v>5</v>
      </c>
      <c r="H36" t="s">
        <v>13</v>
      </c>
      <c r="I36">
        <v>33</v>
      </c>
      <c r="J36">
        <v>14</v>
      </c>
      <c r="K36" t="str">
        <f t="shared" si="1"/>
        <v>4. low income &amp; low spend (economy class)</v>
      </c>
    </row>
    <row r="37" spans="1:11" x14ac:dyDescent="0.2">
      <c r="A37">
        <v>36</v>
      </c>
      <c r="B37" t="s">
        <v>16</v>
      </c>
      <c r="C37">
        <v>21</v>
      </c>
      <c r="D37" t="s">
        <v>12</v>
      </c>
      <c r="E37">
        <v>15.18</v>
      </c>
      <c r="F37">
        <v>454</v>
      </c>
      <c r="G37">
        <v>6</v>
      </c>
      <c r="H37" t="s">
        <v>14</v>
      </c>
      <c r="I37">
        <v>33</v>
      </c>
      <c r="J37">
        <v>81</v>
      </c>
      <c r="K37" t="str">
        <f t="shared" si="1"/>
        <v>3. low income &amp; high spend (regular customer/shopper)</v>
      </c>
    </row>
    <row r="38" spans="1:11" x14ac:dyDescent="0.2">
      <c r="A38">
        <v>37</v>
      </c>
      <c r="B38" t="s">
        <v>16</v>
      </c>
      <c r="C38">
        <v>42</v>
      </c>
      <c r="D38" t="s">
        <v>21</v>
      </c>
      <c r="E38">
        <v>30.15</v>
      </c>
      <c r="F38">
        <v>719</v>
      </c>
      <c r="G38">
        <v>5</v>
      </c>
      <c r="H38" t="s">
        <v>13</v>
      </c>
      <c r="I38">
        <v>34</v>
      </c>
      <c r="J38">
        <v>17</v>
      </c>
      <c r="K38" t="str">
        <f t="shared" si="1"/>
        <v>4. low income &amp; low spend (economy class)</v>
      </c>
    </row>
    <row r="39" spans="1:11" x14ac:dyDescent="0.2">
      <c r="A39">
        <v>38</v>
      </c>
      <c r="B39" t="s">
        <v>16</v>
      </c>
      <c r="C39">
        <v>30</v>
      </c>
      <c r="D39" t="s">
        <v>18</v>
      </c>
      <c r="E39">
        <v>17.45</v>
      </c>
      <c r="F39">
        <v>486</v>
      </c>
      <c r="G39">
        <v>6</v>
      </c>
      <c r="H39" t="s">
        <v>14</v>
      </c>
      <c r="I39">
        <v>34</v>
      </c>
      <c r="J39">
        <v>73</v>
      </c>
      <c r="K39" t="str">
        <f t="shared" si="1"/>
        <v>3. low income &amp; high spend (regular customer/shopper)</v>
      </c>
    </row>
    <row r="40" spans="1:11" x14ac:dyDescent="0.2">
      <c r="A40">
        <v>39</v>
      </c>
      <c r="B40" t="s">
        <v>16</v>
      </c>
      <c r="C40">
        <v>36</v>
      </c>
      <c r="D40" t="s">
        <v>21</v>
      </c>
      <c r="E40">
        <v>30.59</v>
      </c>
      <c r="F40">
        <v>751</v>
      </c>
      <c r="G40">
        <v>4</v>
      </c>
      <c r="H40" t="s">
        <v>13</v>
      </c>
      <c r="I40">
        <v>37</v>
      </c>
      <c r="J40">
        <v>26</v>
      </c>
      <c r="K40" t="str">
        <f t="shared" si="1"/>
        <v>4. low income &amp; low spend (economy class)</v>
      </c>
    </row>
    <row r="41" spans="1:11" x14ac:dyDescent="0.2">
      <c r="A41">
        <v>40</v>
      </c>
      <c r="B41" t="s">
        <v>16</v>
      </c>
      <c r="C41">
        <v>20</v>
      </c>
      <c r="D41" t="s">
        <v>12</v>
      </c>
      <c r="E41">
        <v>18.5</v>
      </c>
      <c r="F41">
        <v>491</v>
      </c>
      <c r="G41">
        <v>5</v>
      </c>
      <c r="H41" t="s">
        <v>14</v>
      </c>
      <c r="I41">
        <v>37</v>
      </c>
      <c r="J41">
        <v>75</v>
      </c>
      <c r="K41" t="str">
        <f t="shared" si="1"/>
        <v>3. low income &amp; high spend (regular customer/shopper)</v>
      </c>
    </row>
    <row r="42" spans="1:11" x14ac:dyDescent="0.2">
      <c r="A42">
        <v>41</v>
      </c>
      <c r="B42" t="s">
        <v>16</v>
      </c>
      <c r="C42">
        <v>65</v>
      </c>
      <c r="D42" t="s">
        <v>19</v>
      </c>
      <c r="E42">
        <v>29.13</v>
      </c>
      <c r="F42">
        <v>716</v>
      </c>
      <c r="G42">
        <v>8</v>
      </c>
      <c r="H42" t="s">
        <v>13</v>
      </c>
      <c r="I42">
        <v>38</v>
      </c>
      <c r="J42">
        <v>35</v>
      </c>
      <c r="K42" t="str">
        <f t="shared" si="1"/>
        <v>4. low income &amp; low spend (economy class)</v>
      </c>
    </row>
    <row r="43" spans="1:11" x14ac:dyDescent="0.2">
      <c r="A43">
        <v>42</v>
      </c>
      <c r="B43" t="s">
        <v>11</v>
      </c>
      <c r="C43">
        <v>24</v>
      </c>
      <c r="D43" t="s">
        <v>12</v>
      </c>
      <c r="E43">
        <v>14.69</v>
      </c>
      <c r="F43">
        <v>420</v>
      </c>
      <c r="G43">
        <v>7</v>
      </c>
      <c r="H43" t="s">
        <v>14</v>
      </c>
      <c r="I43">
        <v>38</v>
      </c>
      <c r="J43">
        <v>92</v>
      </c>
      <c r="K43" t="str">
        <f t="shared" si="1"/>
        <v>3. low income &amp; high spend (regular customer/shopper)</v>
      </c>
    </row>
    <row r="44" spans="1:11" x14ac:dyDescent="0.2">
      <c r="A44">
        <v>43</v>
      </c>
      <c r="B44" t="s">
        <v>11</v>
      </c>
      <c r="C44">
        <v>48</v>
      </c>
      <c r="D44" t="s">
        <v>21</v>
      </c>
      <c r="E44">
        <v>29.64</v>
      </c>
      <c r="F44">
        <v>714</v>
      </c>
      <c r="G44">
        <v>6</v>
      </c>
      <c r="H44" t="s">
        <v>13</v>
      </c>
      <c r="I44">
        <v>39</v>
      </c>
      <c r="J44">
        <v>36</v>
      </c>
      <c r="K44" t="str">
        <f t="shared" si="1"/>
        <v>4. low income &amp; low spend (economy class)</v>
      </c>
    </row>
    <row r="45" spans="1:11" x14ac:dyDescent="0.2">
      <c r="A45">
        <v>44</v>
      </c>
      <c r="B45" t="s">
        <v>16</v>
      </c>
      <c r="C45">
        <v>31</v>
      </c>
      <c r="D45" t="s">
        <v>18</v>
      </c>
      <c r="E45">
        <v>23.14</v>
      </c>
      <c r="F45">
        <v>598</v>
      </c>
      <c r="G45">
        <v>6</v>
      </c>
      <c r="H45" t="s">
        <v>13</v>
      </c>
      <c r="I45">
        <v>39</v>
      </c>
      <c r="J45">
        <v>61</v>
      </c>
      <c r="K45" t="str">
        <f t="shared" si="1"/>
        <v>3. low income &amp; high spend (regular customer/shopper)</v>
      </c>
    </row>
    <row r="46" spans="1:11" x14ac:dyDescent="0.2">
      <c r="A46">
        <v>45</v>
      </c>
      <c r="B46" t="s">
        <v>16</v>
      </c>
      <c r="C46">
        <v>49</v>
      </c>
      <c r="D46" t="s">
        <v>21</v>
      </c>
      <c r="E46">
        <v>31.72</v>
      </c>
      <c r="F46">
        <v>702</v>
      </c>
      <c r="G46">
        <v>6</v>
      </c>
      <c r="H46" t="s">
        <v>13</v>
      </c>
      <c r="I46">
        <v>39</v>
      </c>
      <c r="J46">
        <v>28</v>
      </c>
      <c r="K46" t="str">
        <f t="shared" si="1"/>
        <v>4. low income &amp; low spend (economy class)</v>
      </c>
    </row>
    <row r="47" spans="1:11" x14ac:dyDescent="0.2">
      <c r="A47">
        <v>46</v>
      </c>
      <c r="B47" t="s">
        <v>16</v>
      </c>
      <c r="C47">
        <v>24</v>
      </c>
      <c r="D47" t="s">
        <v>12</v>
      </c>
      <c r="E47">
        <v>22.1</v>
      </c>
      <c r="F47">
        <v>565</v>
      </c>
      <c r="G47">
        <v>5</v>
      </c>
      <c r="H47" t="s">
        <v>13</v>
      </c>
      <c r="I47">
        <v>39</v>
      </c>
      <c r="J47">
        <v>65</v>
      </c>
      <c r="K47" t="str">
        <f t="shared" si="1"/>
        <v>3. low income &amp; high spend (regular customer/shopper)</v>
      </c>
    </row>
    <row r="48" spans="1:11" x14ac:dyDescent="0.2">
      <c r="A48">
        <v>47</v>
      </c>
      <c r="B48" t="s">
        <v>16</v>
      </c>
      <c r="C48">
        <v>50</v>
      </c>
      <c r="D48" t="s">
        <v>21</v>
      </c>
      <c r="E48">
        <v>25.33</v>
      </c>
      <c r="F48">
        <v>581</v>
      </c>
      <c r="G48">
        <v>7</v>
      </c>
      <c r="H48" t="s">
        <v>22</v>
      </c>
      <c r="I48">
        <v>40</v>
      </c>
      <c r="J48">
        <v>55</v>
      </c>
      <c r="K48" t="str">
        <f t="shared" si="1"/>
        <v>3. low income &amp; high spend (regular customer/shopper)</v>
      </c>
    </row>
    <row r="49" spans="1:11" x14ac:dyDescent="0.2">
      <c r="A49">
        <v>48</v>
      </c>
      <c r="B49" t="s">
        <v>16</v>
      </c>
      <c r="C49">
        <v>27</v>
      </c>
      <c r="D49" t="s">
        <v>18</v>
      </c>
      <c r="E49">
        <v>27.47</v>
      </c>
      <c r="F49">
        <v>635</v>
      </c>
      <c r="G49">
        <v>5</v>
      </c>
      <c r="H49" t="s">
        <v>23</v>
      </c>
      <c r="I49">
        <v>40</v>
      </c>
      <c r="J49">
        <v>47</v>
      </c>
      <c r="K49" t="str">
        <f t="shared" si="1"/>
        <v>4. low income &amp; low spend (economy class)</v>
      </c>
    </row>
    <row r="50" spans="1:11" x14ac:dyDescent="0.2">
      <c r="A50">
        <v>49</v>
      </c>
      <c r="B50" t="s">
        <v>16</v>
      </c>
      <c r="C50">
        <v>29</v>
      </c>
      <c r="D50" t="s">
        <v>18</v>
      </c>
      <c r="E50">
        <v>28.8</v>
      </c>
      <c r="F50">
        <v>712</v>
      </c>
      <c r="G50">
        <v>5</v>
      </c>
      <c r="H50" t="s">
        <v>23</v>
      </c>
      <c r="I50">
        <v>40</v>
      </c>
      <c r="J50">
        <v>42</v>
      </c>
      <c r="K50" t="str">
        <f t="shared" si="1"/>
        <v>4. low income &amp; low spend (economy class)</v>
      </c>
    </row>
    <row r="51" spans="1:11" x14ac:dyDescent="0.2">
      <c r="A51">
        <v>50</v>
      </c>
      <c r="B51" t="s">
        <v>16</v>
      </c>
      <c r="C51">
        <v>31</v>
      </c>
      <c r="D51" t="s">
        <v>18</v>
      </c>
      <c r="E51">
        <v>28.8</v>
      </c>
      <c r="F51">
        <v>678</v>
      </c>
      <c r="G51">
        <v>5</v>
      </c>
      <c r="H51" t="s">
        <v>23</v>
      </c>
      <c r="I51">
        <v>40</v>
      </c>
      <c r="J51">
        <v>42</v>
      </c>
      <c r="K51" t="str">
        <f t="shared" si="1"/>
        <v>4. low income &amp; low spend (economy class)</v>
      </c>
    </row>
    <row r="52" spans="1:11" x14ac:dyDescent="0.2">
      <c r="A52">
        <v>51</v>
      </c>
      <c r="B52" t="s">
        <v>16</v>
      </c>
      <c r="C52">
        <v>49</v>
      </c>
      <c r="D52" t="s">
        <v>21</v>
      </c>
      <c r="E52">
        <v>27.44</v>
      </c>
      <c r="F52">
        <v>627</v>
      </c>
      <c r="G52">
        <v>7</v>
      </c>
      <c r="H52" t="s">
        <v>22</v>
      </c>
      <c r="I52">
        <v>42</v>
      </c>
      <c r="J52">
        <v>52</v>
      </c>
      <c r="K52" t="str">
        <f t="shared" si="1"/>
        <v>3. low income &amp; high spend (regular customer/shopper)</v>
      </c>
    </row>
    <row r="53" spans="1:11" x14ac:dyDescent="0.2">
      <c r="A53">
        <v>52</v>
      </c>
      <c r="B53" t="s">
        <v>11</v>
      </c>
      <c r="C53">
        <v>33</v>
      </c>
      <c r="D53" t="s">
        <v>18</v>
      </c>
      <c r="E53">
        <v>25.2</v>
      </c>
      <c r="F53">
        <v>573</v>
      </c>
      <c r="G53">
        <v>6</v>
      </c>
      <c r="H53" t="s">
        <v>23</v>
      </c>
      <c r="I53">
        <v>42</v>
      </c>
      <c r="J53">
        <v>60</v>
      </c>
      <c r="K53" t="str">
        <f t="shared" si="1"/>
        <v>3. low income &amp; high spend (regular customer/shopper)</v>
      </c>
    </row>
    <row r="54" spans="1:11" x14ac:dyDescent="0.2">
      <c r="A54">
        <v>53</v>
      </c>
      <c r="B54" t="s">
        <v>16</v>
      </c>
      <c r="C54">
        <v>31</v>
      </c>
      <c r="D54" t="s">
        <v>18</v>
      </c>
      <c r="E54">
        <v>27.52</v>
      </c>
      <c r="F54">
        <v>698</v>
      </c>
      <c r="G54">
        <v>5</v>
      </c>
      <c r="H54" t="s">
        <v>23</v>
      </c>
      <c r="I54">
        <v>43</v>
      </c>
      <c r="J54">
        <v>54</v>
      </c>
      <c r="K54" t="str">
        <f t="shared" si="1"/>
        <v>3. low income &amp; high spend (regular customer/shopper)</v>
      </c>
    </row>
    <row r="55" spans="1:11" x14ac:dyDescent="0.2">
      <c r="A55">
        <v>54</v>
      </c>
      <c r="B55" t="s">
        <v>11</v>
      </c>
      <c r="C55">
        <v>59</v>
      </c>
      <c r="D55" t="s">
        <v>19</v>
      </c>
      <c r="E55">
        <v>25.8</v>
      </c>
      <c r="F55">
        <v>639</v>
      </c>
      <c r="G55">
        <v>8</v>
      </c>
      <c r="H55" t="s">
        <v>22</v>
      </c>
      <c r="I55">
        <v>43</v>
      </c>
      <c r="J55">
        <v>60</v>
      </c>
      <c r="K55" t="str">
        <f t="shared" si="1"/>
        <v>3. low income &amp; high spend (regular customer/shopper)</v>
      </c>
    </row>
    <row r="56" spans="1:11" x14ac:dyDescent="0.2">
      <c r="A56">
        <v>55</v>
      </c>
      <c r="B56" t="s">
        <v>16</v>
      </c>
      <c r="C56">
        <v>50</v>
      </c>
      <c r="D56" t="s">
        <v>21</v>
      </c>
      <c r="E56">
        <v>30.1</v>
      </c>
      <c r="F56">
        <v>668</v>
      </c>
      <c r="G56">
        <v>7</v>
      </c>
      <c r="H56" t="s">
        <v>22</v>
      </c>
      <c r="I56">
        <v>43</v>
      </c>
      <c r="J56">
        <v>45</v>
      </c>
      <c r="K56" t="str">
        <f t="shared" si="1"/>
        <v>4. low income &amp; low spend (economy class)</v>
      </c>
    </row>
    <row r="57" spans="1:11" x14ac:dyDescent="0.2">
      <c r="A57">
        <v>56</v>
      </c>
      <c r="B57" t="s">
        <v>11</v>
      </c>
      <c r="C57">
        <v>47</v>
      </c>
      <c r="D57" t="s">
        <v>21</v>
      </c>
      <c r="E57">
        <v>31.25</v>
      </c>
      <c r="F57">
        <v>683</v>
      </c>
      <c r="G57">
        <v>6</v>
      </c>
      <c r="H57" t="s">
        <v>22</v>
      </c>
      <c r="I57">
        <v>43</v>
      </c>
      <c r="J57">
        <v>41</v>
      </c>
      <c r="K57" t="str">
        <f t="shared" si="1"/>
        <v>4. low income &amp; low spend (economy class)</v>
      </c>
    </row>
    <row r="58" spans="1:11" x14ac:dyDescent="0.2">
      <c r="A58">
        <v>57</v>
      </c>
      <c r="B58" t="s">
        <v>16</v>
      </c>
      <c r="C58">
        <v>51</v>
      </c>
      <c r="D58" t="s">
        <v>19</v>
      </c>
      <c r="E58">
        <v>29.33</v>
      </c>
      <c r="F58">
        <v>729</v>
      </c>
      <c r="G58">
        <v>7</v>
      </c>
      <c r="H58" t="s">
        <v>22</v>
      </c>
      <c r="I58">
        <v>44</v>
      </c>
      <c r="J58">
        <v>50</v>
      </c>
      <c r="K58" t="str">
        <f t="shared" si="1"/>
        <v>3. low income &amp; high spend (regular customer/shopper)</v>
      </c>
    </row>
    <row r="59" spans="1:11" x14ac:dyDescent="0.2">
      <c r="A59">
        <v>58</v>
      </c>
      <c r="B59" t="s">
        <v>11</v>
      </c>
      <c r="C59">
        <v>69</v>
      </c>
      <c r="D59" t="s">
        <v>20</v>
      </c>
      <c r="E59">
        <v>30.51</v>
      </c>
      <c r="F59">
        <v>712</v>
      </c>
      <c r="G59">
        <v>9</v>
      </c>
      <c r="H59" t="s">
        <v>22</v>
      </c>
      <c r="I59">
        <v>44</v>
      </c>
      <c r="J59">
        <v>46</v>
      </c>
      <c r="K59" t="str">
        <f t="shared" si="1"/>
        <v>4. low income &amp; low spend (economy class)</v>
      </c>
    </row>
    <row r="60" spans="1:11" x14ac:dyDescent="0.2">
      <c r="A60">
        <v>59</v>
      </c>
      <c r="B60" t="s">
        <v>16</v>
      </c>
      <c r="C60">
        <v>27</v>
      </c>
      <c r="D60" t="s">
        <v>18</v>
      </c>
      <c r="E60">
        <v>30.36</v>
      </c>
      <c r="F60">
        <v>656</v>
      </c>
      <c r="G60">
        <v>5</v>
      </c>
      <c r="H60" t="s">
        <v>23</v>
      </c>
      <c r="I60">
        <v>46</v>
      </c>
      <c r="J60">
        <v>51</v>
      </c>
      <c r="K60" t="str">
        <f t="shared" si="1"/>
        <v>3. low income &amp; high spend (regular customer/shopper)</v>
      </c>
    </row>
    <row r="61" spans="1:11" x14ac:dyDescent="0.2">
      <c r="A61">
        <v>60</v>
      </c>
      <c r="B61" t="s">
        <v>11</v>
      </c>
      <c r="C61">
        <v>53</v>
      </c>
      <c r="D61" t="s">
        <v>19</v>
      </c>
      <c r="E61">
        <v>31.89</v>
      </c>
      <c r="F61">
        <v>763</v>
      </c>
      <c r="G61">
        <v>7</v>
      </c>
      <c r="H61" t="s">
        <v>22</v>
      </c>
      <c r="I61">
        <v>46</v>
      </c>
      <c r="J61">
        <v>46</v>
      </c>
      <c r="K61" t="str">
        <f t="shared" si="1"/>
        <v>4. low income &amp; low spend (economy class)</v>
      </c>
    </row>
    <row r="62" spans="1:11" x14ac:dyDescent="0.2">
      <c r="A62">
        <v>61</v>
      </c>
      <c r="B62" t="s">
        <v>11</v>
      </c>
      <c r="C62">
        <v>70</v>
      </c>
      <c r="D62" t="s">
        <v>20</v>
      </c>
      <c r="E62">
        <v>28.83</v>
      </c>
      <c r="F62">
        <v>721</v>
      </c>
      <c r="G62">
        <v>9</v>
      </c>
      <c r="H62" t="s">
        <v>22</v>
      </c>
      <c r="I62">
        <v>46</v>
      </c>
      <c r="J62">
        <v>56</v>
      </c>
      <c r="K62" t="str">
        <f t="shared" si="1"/>
        <v>3. low income &amp; high spend (regular customer/shopper)</v>
      </c>
    </row>
    <row r="63" spans="1:11" x14ac:dyDescent="0.2">
      <c r="A63">
        <v>62</v>
      </c>
      <c r="B63" t="s">
        <v>11</v>
      </c>
      <c r="C63">
        <v>19</v>
      </c>
      <c r="D63" t="s">
        <v>12</v>
      </c>
      <c r="E63">
        <v>29.13</v>
      </c>
      <c r="F63">
        <v>694</v>
      </c>
      <c r="G63">
        <v>4</v>
      </c>
      <c r="H63" t="s">
        <v>23</v>
      </c>
      <c r="I63">
        <v>46</v>
      </c>
      <c r="J63">
        <v>55</v>
      </c>
      <c r="K63" t="str">
        <f t="shared" si="1"/>
        <v>3. low income &amp; high spend (regular customer/shopper)</v>
      </c>
    </row>
    <row r="64" spans="1:11" x14ac:dyDescent="0.2">
      <c r="A64">
        <v>63</v>
      </c>
      <c r="B64" t="s">
        <v>16</v>
      </c>
      <c r="C64">
        <v>67</v>
      </c>
      <c r="D64" t="s">
        <v>20</v>
      </c>
      <c r="E64">
        <v>30.71</v>
      </c>
      <c r="F64">
        <v>730</v>
      </c>
      <c r="G64">
        <v>9</v>
      </c>
      <c r="H64" t="s">
        <v>22</v>
      </c>
      <c r="I64">
        <v>47</v>
      </c>
      <c r="J64">
        <v>52</v>
      </c>
      <c r="K64" t="str">
        <f t="shared" si="1"/>
        <v>3. low income &amp; high spend (regular customer/shopper)</v>
      </c>
    </row>
    <row r="65" spans="1:11" x14ac:dyDescent="0.2">
      <c r="A65">
        <v>64</v>
      </c>
      <c r="B65" t="s">
        <v>16</v>
      </c>
      <c r="C65">
        <v>54</v>
      </c>
      <c r="D65" t="s">
        <v>19</v>
      </c>
      <c r="E65">
        <v>28.51</v>
      </c>
      <c r="F65">
        <v>668</v>
      </c>
      <c r="G65">
        <v>8</v>
      </c>
      <c r="H65" t="s">
        <v>22</v>
      </c>
      <c r="I65">
        <v>47</v>
      </c>
      <c r="J65">
        <v>59</v>
      </c>
      <c r="K65" t="str">
        <f t="shared" si="1"/>
        <v>3. low income &amp; high spend (regular customer/shopper)</v>
      </c>
    </row>
    <row r="66" spans="1:11" x14ac:dyDescent="0.2">
      <c r="A66">
        <v>65</v>
      </c>
      <c r="B66" t="s">
        <v>11</v>
      </c>
      <c r="C66">
        <v>63</v>
      </c>
      <c r="D66" t="s">
        <v>19</v>
      </c>
      <c r="E66">
        <v>31.68</v>
      </c>
      <c r="F66">
        <v>682</v>
      </c>
      <c r="G66">
        <v>8</v>
      </c>
      <c r="H66" t="s">
        <v>22</v>
      </c>
      <c r="I66">
        <v>48</v>
      </c>
      <c r="J66">
        <v>51</v>
      </c>
      <c r="K66" t="str">
        <f t="shared" ref="K66:K97" si="2">IF(AND(I66&gt;=$N$3,J66&gt;=$N$4), "1. VIP / high income &amp; high spend (main target)", IF(AND(I66&gt;=$N$3,J66&lt;$N$4), "2. high income &amp; low spend (high potential)", IF(AND(I66&lt;$N$3,J66&gt;=$N$4), "3. low income &amp; high spend (regular customer/shopper)", "4. low income &amp; low spend (economy class)")))</f>
        <v>3. low income &amp; high spend (regular customer/shopper)</v>
      </c>
    </row>
    <row r="67" spans="1:11" x14ac:dyDescent="0.2">
      <c r="A67">
        <v>66</v>
      </c>
      <c r="B67" t="s">
        <v>11</v>
      </c>
      <c r="C67">
        <v>18</v>
      </c>
      <c r="E67">
        <v>29.12</v>
      </c>
      <c r="F67">
        <v>681</v>
      </c>
      <c r="G67">
        <v>4</v>
      </c>
      <c r="H67" t="s">
        <v>22</v>
      </c>
      <c r="I67">
        <v>48</v>
      </c>
      <c r="J67">
        <v>59</v>
      </c>
      <c r="K67" t="str">
        <f t="shared" si="2"/>
        <v>3. low income &amp; high spend (regular customer/shopper)</v>
      </c>
    </row>
    <row r="68" spans="1:11" x14ac:dyDescent="0.2">
      <c r="A68">
        <v>67</v>
      </c>
      <c r="B68" t="s">
        <v>16</v>
      </c>
      <c r="C68">
        <v>43</v>
      </c>
      <c r="D68" t="s">
        <v>21</v>
      </c>
      <c r="E68">
        <v>32</v>
      </c>
      <c r="F68">
        <v>714</v>
      </c>
      <c r="G68">
        <v>6</v>
      </c>
      <c r="H68" t="s">
        <v>22</v>
      </c>
      <c r="I68">
        <v>48</v>
      </c>
      <c r="J68">
        <v>50</v>
      </c>
      <c r="K68" t="str">
        <f t="shared" si="2"/>
        <v>3. low income &amp; high spend (regular customer/shopper)</v>
      </c>
    </row>
    <row r="69" spans="1:11" x14ac:dyDescent="0.2">
      <c r="A69">
        <v>68</v>
      </c>
      <c r="B69" t="s">
        <v>16</v>
      </c>
      <c r="C69">
        <v>68</v>
      </c>
      <c r="D69" t="s">
        <v>20</v>
      </c>
      <c r="E69">
        <v>32.64</v>
      </c>
      <c r="F69">
        <v>767</v>
      </c>
      <c r="G69">
        <v>9</v>
      </c>
      <c r="H69" t="s">
        <v>22</v>
      </c>
      <c r="I69">
        <v>48</v>
      </c>
      <c r="J69">
        <v>48</v>
      </c>
      <c r="K69" t="str">
        <f t="shared" si="2"/>
        <v>4. low income &amp; low spend (economy class)</v>
      </c>
    </row>
    <row r="70" spans="1:11" x14ac:dyDescent="0.2">
      <c r="A70">
        <v>69</v>
      </c>
      <c r="B70" t="s">
        <v>11</v>
      </c>
      <c r="C70">
        <v>19</v>
      </c>
      <c r="D70" t="s">
        <v>12</v>
      </c>
      <c r="E70">
        <v>29.12</v>
      </c>
      <c r="F70">
        <v>715</v>
      </c>
      <c r="G70">
        <v>4</v>
      </c>
      <c r="H70" t="s">
        <v>23</v>
      </c>
      <c r="I70">
        <v>48</v>
      </c>
      <c r="J70">
        <v>59</v>
      </c>
      <c r="K70" t="str">
        <f t="shared" si="2"/>
        <v>3. low income &amp; high spend (regular customer/shopper)</v>
      </c>
    </row>
    <row r="71" spans="1:11" x14ac:dyDescent="0.2">
      <c r="A71">
        <v>70</v>
      </c>
      <c r="B71" t="s">
        <v>16</v>
      </c>
      <c r="C71">
        <v>32</v>
      </c>
      <c r="D71" t="s">
        <v>18</v>
      </c>
      <c r="E71">
        <v>32.96</v>
      </c>
      <c r="F71">
        <v>730</v>
      </c>
      <c r="G71">
        <v>5</v>
      </c>
      <c r="H71" t="s">
        <v>23</v>
      </c>
      <c r="I71">
        <v>48</v>
      </c>
      <c r="J71">
        <v>47</v>
      </c>
      <c r="K71" t="str">
        <f t="shared" si="2"/>
        <v>4. low income &amp; low spend (economy class)</v>
      </c>
    </row>
    <row r="72" spans="1:11" x14ac:dyDescent="0.2">
      <c r="A72">
        <v>71</v>
      </c>
      <c r="B72" t="s">
        <v>11</v>
      </c>
      <c r="C72">
        <v>70</v>
      </c>
      <c r="D72" t="s">
        <v>20</v>
      </c>
      <c r="E72">
        <v>31.03</v>
      </c>
      <c r="F72">
        <v>714</v>
      </c>
      <c r="G72">
        <v>9</v>
      </c>
      <c r="H72" t="s">
        <v>22</v>
      </c>
      <c r="I72">
        <v>49</v>
      </c>
      <c r="J72">
        <v>55</v>
      </c>
      <c r="K72" t="str">
        <f t="shared" si="2"/>
        <v>3. low income &amp; high spend (regular customer/shopper)</v>
      </c>
    </row>
    <row r="73" spans="1:11" x14ac:dyDescent="0.2">
      <c r="A73">
        <v>72</v>
      </c>
      <c r="B73" t="s">
        <v>16</v>
      </c>
      <c r="C73">
        <v>47</v>
      </c>
      <c r="D73" t="s">
        <v>21</v>
      </c>
      <c r="E73">
        <v>35.28</v>
      </c>
      <c r="F73">
        <v>733</v>
      </c>
      <c r="G73">
        <v>6</v>
      </c>
      <c r="H73" t="s">
        <v>22</v>
      </c>
      <c r="I73">
        <v>49</v>
      </c>
      <c r="J73">
        <v>42</v>
      </c>
      <c r="K73" t="str">
        <f t="shared" si="2"/>
        <v>4. low income &amp; low spend (economy class)</v>
      </c>
    </row>
    <row r="74" spans="1:11" x14ac:dyDescent="0.2">
      <c r="A74">
        <v>73</v>
      </c>
      <c r="B74" t="s">
        <v>16</v>
      </c>
      <c r="C74">
        <v>60</v>
      </c>
      <c r="D74" t="s">
        <v>19</v>
      </c>
      <c r="E74">
        <v>33.67</v>
      </c>
      <c r="F74">
        <v>706</v>
      </c>
      <c r="G74">
        <v>8</v>
      </c>
      <c r="H74" t="s">
        <v>22</v>
      </c>
      <c r="I74">
        <v>50</v>
      </c>
      <c r="J74">
        <v>49</v>
      </c>
      <c r="K74" t="str">
        <f t="shared" si="2"/>
        <v>4. low income &amp; low spend (economy class)</v>
      </c>
    </row>
    <row r="75" spans="1:11" x14ac:dyDescent="0.2">
      <c r="A75">
        <v>74</v>
      </c>
      <c r="B75" t="s">
        <v>16</v>
      </c>
      <c r="C75">
        <v>60</v>
      </c>
      <c r="D75" t="s">
        <v>19</v>
      </c>
      <c r="E75">
        <v>31.33</v>
      </c>
      <c r="F75">
        <v>675</v>
      </c>
      <c r="G75">
        <v>8</v>
      </c>
      <c r="H75" t="s">
        <v>22</v>
      </c>
      <c r="I75">
        <v>50</v>
      </c>
      <c r="J75">
        <v>56</v>
      </c>
      <c r="K75" t="str">
        <f t="shared" si="2"/>
        <v>3. low income &amp; high spend (regular customer/shopper)</v>
      </c>
    </row>
    <row r="76" spans="1:11" x14ac:dyDescent="0.2">
      <c r="A76">
        <v>75</v>
      </c>
      <c r="B76" t="s">
        <v>11</v>
      </c>
      <c r="C76">
        <v>59</v>
      </c>
      <c r="D76" t="s">
        <v>19</v>
      </c>
      <c r="E76">
        <v>37.08</v>
      </c>
      <c r="F76">
        <v>808</v>
      </c>
      <c r="G76">
        <v>8</v>
      </c>
      <c r="H76" t="s">
        <v>22</v>
      </c>
      <c r="I76">
        <v>54</v>
      </c>
      <c r="J76">
        <v>47</v>
      </c>
      <c r="K76" t="str">
        <f t="shared" si="2"/>
        <v>4. low income &amp; low spend (economy class)</v>
      </c>
    </row>
    <row r="77" spans="1:11" x14ac:dyDescent="0.2">
      <c r="A77">
        <v>76</v>
      </c>
      <c r="B77" t="s">
        <v>11</v>
      </c>
      <c r="C77">
        <v>26</v>
      </c>
      <c r="D77" t="s">
        <v>18</v>
      </c>
      <c r="E77">
        <v>34.56</v>
      </c>
      <c r="F77">
        <v>723</v>
      </c>
      <c r="G77">
        <v>5</v>
      </c>
      <c r="H77" t="s">
        <v>23</v>
      </c>
      <c r="I77">
        <v>54</v>
      </c>
      <c r="J77">
        <v>54</v>
      </c>
      <c r="K77" t="str">
        <f t="shared" si="2"/>
        <v>3. low income &amp; high spend (regular customer/shopper)</v>
      </c>
    </row>
    <row r="78" spans="1:11" x14ac:dyDescent="0.2">
      <c r="A78">
        <v>77</v>
      </c>
      <c r="B78" t="s">
        <v>16</v>
      </c>
      <c r="C78">
        <v>45</v>
      </c>
      <c r="D78" t="s">
        <v>21</v>
      </c>
      <c r="E78">
        <v>34.92</v>
      </c>
      <c r="F78">
        <v>778</v>
      </c>
      <c r="G78">
        <v>7</v>
      </c>
      <c r="H78" t="s">
        <v>22</v>
      </c>
      <c r="I78">
        <v>54</v>
      </c>
      <c r="J78">
        <v>53</v>
      </c>
      <c r="K78" t="str">
        <f t="shared" si="2"/>
        <v>3. low income &amp; high spend (regular customer/shopper)</v>
      </c>
    </row>
    <row r="79" spans="1:11" x14ac:dyDescent="0.2">
      <c r="A79">
        <v>78</v>
      </c>
      <c r="B79" t="s">
        <v>11</v>
      </c>
      <c r="C79">
        <v>40</v>
      </c>
      <c r="D79" t="s">
        <v>21</v>
      </c>
      <c r="E79">
        <v>36.72</v>
      </c>
      <c r="F79">
        <v>842</v>
      </c>
      <c r="G79">
        <v>6</v>
      </c>
      <c r="H79" t="s">
        <v>22</v>
      </c>
      <c r="I79">
        <v>54</v>
      </c>
      <c r="J79">
        <v>48</v>
      </c>
      <c r="K79" t="str">
        <f t="shared" si="2"/>
        <v>4. low income &amp; low spend (economy class)</v>
      </c>
    </row>
    <row r="80" spans="1:11" x14ac:dyDescent="0.2">
      <c r="A80">
        <v>79</v>
      </c>
      <c r="B80" t="s">
        <v>16</v>
      </c>
      <c r="C80">
        <v>23</v>
      </c>
      <c r="D80" t="s">
        <v>12</v>
      </c>
      <c r="E80">
        <v>35.28</v>
      </c>
      <c r="F80">
        <v>792</v>
      </c>
      <c r="G80">
        <v>4</v>
      </c>
      <c r="H80" t="s">
        <v>23</v>
      </c>
      <c r="I80">
        <v>54</v>
      </c>
      <c r="J80">
        <v>52</v>
      </c>
      <c r="K80" t="str">
        <f t="shared" si="2"/>
        <v>3. low income &amp; high spend (regular customer/shopper)</v>
      </c>
    </row>
    <row r="81" spans="1:11" x14ac:dyDescent="0.2">
      <c r="A81">
        <v>80</v>
      </c>
      <c r="B81" t="s">
        <v>16</v>
      </c>
      <c r="C81">
        <v>49</v>
      </c>
      <c r="D81" t="s">
        <v>21</v>
      </c>
      <c r="E81">
        <v>38.880000000000003</v>
      </c>
      <c r="F81">
        <v>797</v>
      </c>
      <c r="G81">
        <v>7</v>
      </c>
      <c r="H81" t="s">
        <v>22</v>
      </c>
      <c r="I81">
        <v>54</v>
      </c>
      <c r="J81">
        <v>42</v>
      </c>
      <c r="K81" t="str">
        <f t="shared" si="2"/>
        <v>4. low income &amp; low spend (economy class)</v>
      </c>
    </row>
    <row r="82" spans="1:11" x14ac:dyDescent="0.2">
      <c r="A82">
        <v>81</v>
      </c>
      <c r="B82" t="s">
        <v>11</v>
      </c>
      <c r="C82">
        <v>57</v>
      </c>
      <c r="D82" t="s">
        <v>19</v>
      </c>
      <c r="E82">
        <v>35.64</v>
      </c>
      <c r="F82">
        <v>824</v>
      </c>
      <c r="G82">
        <v>8</v>
      </c>
      <c r="H82" t="s">
        <v>22</v>
      </c>
      <c r="I82">
        <v>54</v>
      </c>
      <c r="J82">
        <v>51</v>
      </c>
      <c r="K82" t="str">
        <f t="shared" si="2"/>
        <v>3. low income &amp; high spend (regular customer/shopper)</v>
      </c>
    </row>
    <row r="83" spans="1:11" x14ac:dyDescent="0.2">
      <c r="A83">
        <v>82</v>
      </c>
      <c r="B83" t="s">
        <v>11</v>
      </c>
      <c r="C83">
        <v>38</v>
      </c>
      <c r="D83" t="s">
        <v>21</v>
      </c>
      <c r="E83">
        <v>34.200000000000003</v>
      </c>
      <c r="F83">
        <v>758</v>
      </c>
      <c r="G83">
        <v>6</v>
      </c>
      <c r="H83" t="s">
        <v>22</v>
      </c>
      <c r="I83">
        <v>54</v>
      </c>
      <c r="J83">
        <v>55</v>
      </c>
      <c r="K83" t="str">
        <f t="shared" si="2"/>
        <v>3. low income &amp; high spend (regular customer/shopper)</v>
      </c>
    </row>
    <row r="84" spans="1:11" x14ac:dyDescent="0.2">
      <c r="A84">
        <v>83</v>
      </c>
      <c r="B84" t="s">
        <v>11</v>
      </c>
      <c r="C84">
        <v>67</v>
      </c>
      <c r="D84" t="s">
        <v>20</v>
      </c>
      <c r="E84">
        <v>39.24</v>
      </c>
      <c r="F84">
        <v>818</v>
      </c>
      <c r="G84">
        <v>8</v>
      </c>
      <c r="H84" t="s">
        <v>22</v>
      </c>
      <c r="I84">
        <v>54</v>
      </c>
      <c r="J84">
        <v>41</v>
      </c>
      <c r="K84" t="str">
        <f t="shared" si="2"/>
        <v>4. low income &amp; low spend (economy class)</v>
      </c>
    </row>
    <row r="85" spans="1:11" x14ac:dyDescent="0.2">
      <c r="A85">
        <v>84</v>
      </c>
      <c r="B85" t="s">
        <v>16</v>
      </c>
      <c r="C85">
        <v>46</v>
      </c>
      <c r="D85" t="s">
        <v>21</v>
      </c>
      <c r="E85">
        <v>38.159999999999997</v>
      </c>
      <c r="F85">
        <v>843</v>
      </c>
      <c r="G85">
        <v>6</v>
      </c>
      <c r="H85" t="s">
        <v>22</v>
      </c>
      <c r="I85">
        <v>54</v>
      </c>
      <c r="J85">
        <v>44</v>
      </c>
      <c r="K85" t="str">
        <f t="shared" si="2"/>
        <v>4. low income &amp; low spend (economy class)</v>
      </c>
    </row>
    <row r="86" spans="1:11" x14ac:dyDescent="0.2">
      <c r="A86">
        <v>85</v>
      </c>
      <c r="B86" t="s">
        <v>16</v>
      </c>
      <c r="C86">
        <v>21</v>
      </c>
      <c r="D86" t="s">
        <v>12</v>
      </c>
      <c r="E86">
        <v>33.479999999999997</v>
      </c>
      <c r="F86">
        <v>766</v>
      </c>
      <c r="G86">
        <v>4</v>
      </c>
      <c r="H86" t="s">
        <v>23</v>
      </c>
      <c r="I86">
        <v>54</v>
      </c>
      <c r="J86">
        <v>57</v>
      </c>
      <c r="K86" t="str">
        <f t="shared" si="2"/>
        <v>3. low income &amp; high spend (regular customer/shopper)</v>
      </c>
    </row>
    <row r="87" spans="1:11" x14ac:dyDescent="0.2">
      <c r="A87">
        <v>86</v>
      </c>
      <c r="B87" t="s">
        <v>11</v>
      </c>
      <c r="C87">
        <v>48</v>
      </c>
      <c r="D87" t="s">
        <v>21</v>
      </c>
      <c r="E87">
        <v>37.44</v>
      </c>
      <c r="F87">
        <v>850</v>
      </c>
      <c r="G87">
        <v>7</v>
      </c>
      <c r="H87" t="s">
        <v>22</v>
      </c>
      <c r="I87">
        <v>54</v>
      </c>
      <c r="J87">
        <v>46</v>
      </c>
      <c r="K87" t="str">
        <f t="shared" si="2"/>
        <v>4. low income &amp; low spend (economy class)</v>
      </c>
    </row>
    <row r="88" spans="1:11" x14ac:dyDescent="0.2">
      <c r="A88">
        <v>87</v>
      </c>
      <c r="B88" t="s">
        <v>16</v>
      </c>
      <c r="C88">
        <v>55</v>
      </c>
      <c r="D88" t="s">
        <v>19</v>
      </c>
      <c r="E88">
        <v>34.96</v>
      </c>
      <c r="F88">
        <v>743</v>
      </c>
      <c r="G88">
        <v>8</v>
      </c>
      <c r="H88" t="s">
        <v>22</v>
      </c>
      <c r="I88">
        <v>57</v>
      </c>
      <c r="J88">
        <v>58</v>
      </c>
      <c r="K88" t="str">
        <f t="shared" si="2"/>
        <v>3. low income &amp; high spend (regular customer/shopper)</v>
      </c>
    </row>
    <row r="89" spans="1:11" x14ac:dyDescent="0.2">
      <c r="A89">
        <v>88</v>
      </c>
      <c r="B89" t="s">
        <v>16</v>
      </c>
      <c r="C89">
        <v>22</v>
      </c>
      <c r="D89" t="s">
        <v>12</v>
      </c>
      <c r="E89">
        <v>36.1</v>
      </c>
      <c r="F89">
        <v>839</v>
      </c>
      <c r="G89">
        <v>4</v>
      </c>
      <c r="H89" t="s">
        <v>23</v>
      </c>
      <c r="I89">
        <v>57</v>
      </c>
      <c r="J89">
        <v>55</v>
      </c>
      <c r="K89" t="str">
        <f t="shared" si="2"/>
        <v>3. low income &amp; high spend (regular customer/shopper)</v>
      </c>
    </row>
    <row r="90" spans="1:11" x14ac:dyDescent="0.2">
      <c r="A90">
        <v>89</v>
      </c>
      <c r="B90" t="s">
        <v>16</v>
      </c>
      <c r="C90">
        <v>34</v>
      </c>
      <c r="D90" t="s">
        <v>18</v>
      </c>
      <c r="E90">
        <v>34.799999999999997</v>
      </c>
      <c r="F90">
        <v>777</v>
      </c>
      <c r="G90">
        <v>6</v>
      </c>
      <c r="H90" t="s">
        <v>23</v>
      </c>
      <c r="I90">
        <v>58</v>
      </c>
      <c r="J90">
        <v>60</v>
      </c>
      <c r="K90" t="str">
        <f t="shared" si="2"/>
        <v>3. low income &amp; high spend (regular customer/shopper)</v>
      </c>
    </row>
    <row r="91" spans="1:11" x14ac:dyDescent="0.2">
      <c r="A91">
        <v>90</v>
      </c>
      <c r="B91" t="s">
        <v>16</v>
      </c>
      <c r="C91">
        <v>50</v>
      </c>
      <c r="D91" t="s">
        <v>21</v>
      </c>
      <c r="E91">
        <v>40.21</v>
      </c>
      <c r="F91">
        <v>814</v>
      </c>
      <c r="G91">
        <v>7</v>
      </c>
      <c r="H91" t="s">
        <v>22</v>
      </c>
      <c r="I91">
        <v>58</v>
      </c>
      <c r="J91">
        <v>46</v>
      </c>
      <c r="K91" t="str">
        <f t="shared" si="2"/>
        <v>4. low income &amp; low spend (economy class)</v>
      </c>
    </row>
    <row r="92" spans="1:11" x14ac:dyDescent="0.2">
      <c r="A92">
        <v>91</v>
      </c>
      <c r="B92" t="s">
        <v>16</v>
      </c>
      <c r="C92">
        <v>68</v>
      </c>
      <c r="D92" t="s">
        <v>20</v>
      </c>
      <c r="E92">
        <v>37.369999999999997</v>
      </c>
      <c r="F92">
        <v>836</v>
      </c>
      <c r="G92">
        <v>9</v>
      </c>
      <c r="H92" t="s">
        <v>22</v>
      </c>
      <c r="I92">
        <v>59</v>
      </c>
      <c r="J92">
        <v>55</v>
      </c>
      <c r="K92" t="str">
        <f t="shared" si="2"/>
        <v>3. low income &amp; high spend (regular customer/shopper)</v>
      </c>
    </row>
    <row r="93" spans="1:11" x14ac:dyDescent="0.2">
      <c r="A93">
        <v>92</v>
      </c>
      <c r="B93" t="s">
        <v>11</v>
      </c>
      <c r="C93">
        <v>18</v>
      </c>
      <c r="E93">
        <v>42.87</v>
      </c>
      <c r="F93">
        <v>850</v>
      </c>
      <c r="G93">
        <v>3</v>
      </c>
      <c r="H93" t="s">
        <v>22</v>
      </c>
      <c r="I93">
        <v>59</v>
      </c>
      <c r="J93">
        <v>41</v>
      </c>
      <c r="K93" t="str">
        <f t="shared" si="2"/>
        <v>4. low income &amp; low spend (economy class)</v>
      </c>
    </row>
    <row r="94" spans="1:11" x14ac:dyDescent="0.2">
      <c r="A94">
        <v>93</v>
      </c>
      <c r="B94" t="s">
        <v>11</v>
      </c>
      <c r="C94">
        <v>48</v>
      </c>
      <c r="D94" t="s">
        <v>21</v>
      </c>
      <c r="E94">
        <v>40.4</v>
      </c>
      <c r="F94">
        <v>850</v>
      </c>
      <c r="G94">
        <v>7</v>
      </c>
      <c r="H94" t="s">
        <v>22</v>
      </c>
      <c r="I94">
        <v>60</v>
      </c>
      <c r="J94">
        <v>49</v>
      </c>
      <c r="K94" t="str">
        <f t="shared" si="2"/>
        <v>4. low income &amp; low spend (economy class)</v>
      </c>
    </row>
    <row r="95" spans="1:11" x14ac:dyDescent="0.2">
      <c r="A95">
        <v>94</v>
      </c>
      <c r="B95" t="s">
        <v>16</v>
      </c>
      <c r="C95">
        <v>40</v>
      </c>
      <c r="D95" t="s">
        <v>21</v>
      </c>
      <c r="E95">
        <v>44</v>
      </c>
      <c r="F95">
        <v>850</v>
      </c>
      <c r="G95">
        <v>6</v>
      </c>
      <c r="H95" t="s">
        <v>22</v>
      </c>
      <c r="I95">
        <v>60</v>
      </c>
      <c r="J95">
        <v>40</v>
      </c>
      <c r="K95" t="str">
        <f t="shared" si="2"/>
        <v>4. low income &amp; low spend (economy class)</v>
      </c>
    </row>
    <row r="96" spans="1:11" x14ac:dyDescent="0.2">
      <c r="A96">
        <v>95</v>
      </c>
      <c r="B96" t="s">
        <v>16</v>
      </c>
      <c r="C96">
        <v>32</v>
      </c>
      <c r="D96" t="s">
        <v>18</v>
      </c>
      <c r="E96">
        <v>43.2</v>
      </c>
      <c r="F96">
        <v>850</v>
      </c>
      <c r="G96">
        <v>5</v>
      </c>
      <c r="H96" t="s">
        <v>23</v>
      </c>
      <c r="I96">
        <v>60</v>
      </c>
      <c r="J96">
        <v>42</v>
      </c>
      <c r="K96" t="str">
        <f t="shared" si="2"/>
        <v>4. low income &amp; low spend (economy class)</v>
      </c>
    </row>
    <row r="97" spans="1:11" x14ac:dyDescent="0.2">
      <c r="A97">
        <v>96</v>
      </c>
      <c r="B97" t="s">
        <v>11</v>
      </c>
      <c r="C97">
        <v>24</v>
      </c>
      <c r="D97" t="s">
        <v>12</v>
      </c>
      <c r="E97">
        <v>39.200000000000003</v>
      </c>
      <c r="F97">
        <v>850</v>
      </c>
      <c r="G97">
        <v>5</v>
      </c>
      <c r="H97" t="s">
        <v>23</v>
      </c>
      <c r="I97">
        <v>60</v>
      </c>
      <c r="J97">
        <v>52</v>
      </c>
      <c r="K97" t="str">
        <f t="shared" si="2"/>
        <v>3. low income &amp; high spend (regular customer/shopper)</v>
      </c>
    </row>
    <row r="98" spans="1:11" x14ac:dyDescent="0.2">
      <c r="A98">
        <v>97</v>
      </c>
      <c r="B98" t="s">
        <v>16</v>
      </c>
      <c r="C98">
        <v>47</v>
      </c>
      <c r="D98" t="s">
        <v>21</v>
      </c>
      <c r="E98">
        <v>41.2</v>
      </c>
      <c r="F98">
        <v>850</v>
      </c>
      <c r="G98">
        <v>7</v>
      </c>
      <c r="H98" t="s">
        <v>22</v>
      </c>
      <c r="I98">
        <v>60</v>
      </c>
      <c r="J98">
        <v>47</v>
      </c>
      <c r="K98" t="str">
        <f t="shared" ref="K98:K129" si="3">IF(AND(I98&gt;=$N$3,J98&gt;=$N$4), "1. VIP / high income &amp; high spend (main target)", IF(AND(I98&gt;=$N$3,J98&lt;$N$4), "2. high income &amp; low spend (high potential)", IF(AND(I98&lt;$N$3,J98&gt;=$N$4), "3. low income &amp; high spend (regular customer/shopper)", "4. low income &amp; low spend (economy class)")))</f>
        <v>4. low income &amp; low spend (economy class)</v>
      </c>
    </row>
    <row r="99" spans="1:11" x14ac:dyDescent="0.2">
      <c r="A99">
        <v>98</v>
      </c>
      <c r="B99" t="s">
        <v>16</v>
      </c>
      <c r="C99">
        <v>27</v>
      </c>
      <c r="D99" t="s">
        <v>18</v>
      </c>
      <c r="E99">
        <v>40</v>
      </c>
      <c r="F99">
        <v>850</v>
      </c>
      <c r="G99">
        <v>5</v>
      </c>
      <c r="H99" t="s">
        <v>23</v>
      </c>
      <c r="I99">
        <v>60</v>
      </c>
      <c r="J99">
        <v>50</v>
      </c>
      <c r="K99" t="str">
        <f t="shared" si="3"/>
        <v>3. low income &amp; high spend (regular customer/shopper)</v>
      </c>
    </row>
    <row r="100" spans="1:11" x14ac:dyDescent="0.2">
      <c r="A100">
        <v>99</v>
      </c>
      <c r="B100" t="s">
        <v>11</v>
      </c>
      <c r="C100">
        <v>48</v>
      </c>
      <c r="D100" t="s">
        <v>21</v>
      </c>
      <c r="E100">
        <v>43.92</v>
      </c>
      <c r="F100">
        <v>850</v>
      </c>
      <c r="G100">
        <v>6</v>
      </c>
      <c r="H100" t="s">
        <v>22</v>
      </c>
      <c r="I100">
        <v>61</v>
      </c>
      <c r="J100">
        <v>42</v>
      </c>
      <c r="K100" t="str">
        <f t="shared" si="3"/>
        <v>4. low income &amp; low spend (economy class)</v>
      </c>
    </row>
    <row r="101" spans="1:11" x14ac:dyDescent="0.2">
      <c r="A101">
        <v>100</v>
      </c>
      <c r="B101" t="s">
        <v>11</v>
      </c>
      <c r="C101">
        <v>20</v>
      </c>
      <c r="D101" t="s">
        <v>12</v>
      </c>
      <c r="E101">
        <v>41.07</v>
      </c>
      <c r="F101">
        <v>838</v>
      </c>
      <c r="G101">
        <v>4</v>
      </c>
      <c r="H101" t="s">
        <v>23</v>
      </c>
      <c r="I101">
        <v>61</v>
      </c>
      <c r="J101">
        <v>49</v>
      </c>
      <c r="K101" t="str">
        <f t="shared" si="3"/>
        <v>4. low income &amp; low spend (economy class)</v>
      </c>
    </row>
    <row r="102" spans="1:11" x14ac:dyDescent="0.2">
      <c r="A102">
        <v>101</v>
      </c>
      <c r="B102" t="s">
        <v>16</v>
      </c>
      <c r="C102">
        <v>23</v>
      </c>
      <c r="D102" t="s">
        <v>12</v>
      </c>
      <c r="E102">
        <v>45.05</v>
      </c>
      <c r="F102">
        <v>850</v>
      </c>
      <c r="G102">
        <v>4</v>
      </c>
      <c r="H102" t="s">
        <v>23</v>
      </c>
      <c r="I102">
        <v>62</v>
      </c>
      <c r="J102">
        <v>41</v>
      </c>
      <c r="K102" t="str">
        <f t="shared" si="3"/>
        <v>2. high income &amp; low spend (high potential)</v>
      </c>
    </row>
    <row r="103" spans="1:11" x14ac:dyDescent="0.2">
      <c r="A103">
        <v>102</v>
      </c>
      <c r="B103" t="s">
        <v>16</v>
      </c>
      <c r="C103">
        <v>49</v>
      </c>
      <c r="D103" t="s">
        <v>21</v>
      </c>
      <c r="E103">
        <v>42.16</v>
      </c>
      <c r="F103">
        <v>850</v>
      </c>
      <c r="G103">
        <v>7</v>
      </c>
      <c r="H103" t="s">
        <v>22</v>
      </c>
      <c r="I103">
        <v>62</v>
      </c>
      <c r="J103">
        <v>48</v>
      </c>
      <c r="K103" t="str">
        <f t="shared" si="3"/>
        <v>2. high income &amp; low spend (high potential)</v>
      </c>
    </row>
    <row r="104" spans="1:11" x14ac:dyDescent="0.2">
      <c r="A104">
        <v>103</v>
      </c>
      <c r="B104" t="s">
        <v>11</v>
      </c>
      <c r="C104">
        <v>67</v>
      </c>
      <c r="D104" t="s">
        <v>20</v>
      </c>
      <c r="E104">
        <v>37.61</v>
      </c>
      <c r="F104">
        <v>834</v>
      </c>
      <c r="G104">
        <v>9</v>
      </c>
      <c r="H104" t="s">
        <v>22</v>
      </c>
      <c r="I104">
        <v>62</v>
      </c>
      <c r="J104">
        <v>59</v>
      </c>
      <c r="K104" t="str">
        <f t="shared" si="3"/>
        <v>1. VIP / high income &amp; high spend (main target)</v>
      </c>
    </row>
    <row r="105" spans="1:11" x14ac:dyDescent="0.2">
      <c r="A105">
        <v>104</v>
      </c>
      <c r="B105" t="s">
        <v>11</v>
      </c>
      <c r="C105">
        <v>26</v>
      </c>
      <c r="D105" t="s">
        <v>18</v>
      </c>
      <c r="E105">
        <v>39.270000000000003</v>
      </c>
      <c r="F105">
        <v>835</v>
      </c>
      <c r="G105">
        <v>5</v>
      </c>
      <c r="H105" t="s">
        <v>23</v>
      </c>
      <c r="I105">
        <v>62</v>
      </c>
      <c r="J105">
        <v>55</v>
      </c>
      <c r="K105" t="str">
        <f t="shared" si="3"/>
        <v>1. VIP / high income &amp; high spend (main target)</v>
      </c>
    </row>
    <row r="106" spans="1:11" x14ac:dyDescent="0.2">
      <c r="A106">
        <v>105</v>
      </c>
      <c r="B106" t="s">
        <v>11</v>
      </c>
      <c r="C106">
        <v>49</v>
      </c>
      <c r="D106" t="s">
        <v>21</v>
      </c>
      <c r="E106">
        <v>38.85</v>
      </c>
      <c r="F106">
        <v>818</v>
      </c>
      <c r="G106">
        <v>7</v>
      </c>
      <c r="H106" t="s">
        <v>22</v>
      </c>
      <c r="I106">
        <v>62</v>
      </c>
      <c r="J106">
        <v>56</v>
      </c>
      <c r="K106" t="str">
        <f t="shared" si="3"/>
        <v>1. VIP / high income &amp; high spend (main target)</v>
      </c>
    </row>
    <row r="107" spans="1:11" x14ac:dyDescent="0.2">
      <c r="A107">
        <v>106</v>
      </c>
      <c r="B107" t="s">
        <v>16</v>
      </c>
      <c r="C107">
        <v>21</v>
      </c>
      <c r="D107" t="s">
        <v>12</v>
      </c>
      <c r="E107">
        <v>44.64</v>
      </c>
      <c r="F107">
        <v>850</v>
      </c>
      <c r="G107">
        <v>4</v>
      </c>
      <c r="H107" t="s">
        <v>23</v>
      </c>
      <c r="I107">
        <v>62</v>
      </c>
      <c r="J107">
        <v>42</v>
      </c>
      <c r="K107" t="str">
        <f t="shared" si="3"/>
        <v>2. high income &amp; low spend (high potential)</v>
      </c>
    </row>
    <row r="108" spans="1:11" x14ac:dyDescent="0.2">
      <c r="A108">
        <v>107</v>
      </c>
      <c r="B108" t="s">
        <v>16</v>
      </c>
      <c r="C108">
        <v>66</v>
      </c>
      <c r="D108" t="s">
        <v>20</v>
      </c>
      <c r="E108">
        <v>42</v>
      </c>
      <c r="F108">
        <v>850</v>
      </c>
      <c r="G108">
        <v>9</v>
      </c>
      <c r="H108" t="s">
        <v>22</v>
      </c>
      <c r="I108">
        <v>63</v>
      </c>
      <c r="J108">
        <v>50</v>
      </c>
      <c r="K108" t="str">
        <f t="shared" si="3"/>
        <v>1. VIP / high income &amp; high spend (main target)</v>
      </c>
    </row>
    <row r="109" spans="1:11" x14ac:dyDescent="0.2">
      <c r="A109">
        <v>108</v>
      </c>
      <c r="B109" t="s">
        <v>11</v>
      </c>
      <c r="C109">
        <v>54</v>
      </c>
      <c r="D109" t="s">
        <v>19</v>
      </c>
      <c r="E109">
        <v>43.68</v>
      </c>
      <c r="F109">
        <v>850</v>
      </c>
      <c r="G109">
        <v>7</v>
      </c>
      <c r="H109" t="s">
        <v>22</v>
      </c>
      <c r="I109">
        <v>63</v>
      </c>
      <c r="J109">
        <v>46</v>
      </c>
      <c r="K109" t="str">
        <f t="shared" si="3"/>
        <v>2. high income &amp; low spend (high potential)</v>
      </c>
    </row>
    <row r="110" spans="1:11" x14ac:dyDescent="0.2">
      <c r="A110">
        <v>109</v>
      </c>
      <c r="B110" t="s">
        <v>11</v>
      </c>
      <c r="C110">
        <v>68</v>
      </c>
      <c r="D110" t="s">
        <v>20</v>
      </c>
      <c r="E110">
        <v>44.94</v>
      </c>
      <c r="F110">
        <v>850</v>
      </c>
      <c r="G110">
        <v>8</v>
      </c>
      <c r="H110" t="s">
        <v>22</v>
      </c>
      <c r="I110">
        <v>63</v>
      </c>
      <c r="J110">
        <v>43</v>
      </c>
      <c r="K110" t="str">
        <f t="shared" si="3"/>
        <v>2. high income &amp; low spend (high potential)</v>
      </c>
    </row>
    <row r="111" spans="1:11" x14ac:dyDescent="0.2">
      <c r="A111">
        <v>110</v>
      </c>
      <c r="B111" t="s">
        <v>11</v>
      </c>
      <c r="C111">
        <v>66</v>
      </c>
      <c r="D111" t="s">
        <v>20</v>
      </c>
      <c r="E111">
        <v>42.84</v>
      </c>
      <c r="F111">
        <v>850</v>
      </c>
      <c r="G111">
        <v>9</v>
      </c>
      <c r="H111" t="s">
        <v>22</v>
      </c>
      <c r="I111">
        <v>63</v>
      </c>
      <c r="J111">
        <v>48</v>
      </c>
      <c r="K111" t="str">
        <f t="shared" si="3"/>
        <v>2. high income &amp; low spend (high potential)</v>
      </c>
    </row>
    <row r="112" spans="1:11" x14ac:dyDescent="0.2">
      <c r="A112">
        <v>111</v>
      </c>
      <c r="B112" t="s">
        <v>11</v>
      </c>
      <c r="C112">
        <v>65</v>
      </c>
      <c r="D112" t="s">
        <v>19</v>
      </c>
      <c r="E112">
        <v>41.16</v>
      </c>
      <c r="F112">
        <v>828</v>
      </c>
      <c r="G112">
        <v>9</v>
      </c>
      <c r="H112" t="s">
        <v>22</v>
      </c>
      <c r="I112">
        <v>63</v>
      </c>
      <c r="J112">
        <v>52</v>
      </c>
      <c r="K112" t="str">
        <f t="shared" si="3"/>
        <v>1. VIP / high income &amp; high spend (main target)</v>
      </c>
    </row>
    <row r="113" spans="1:11" x14ac:dyDescent="0.2">
      <c r="A113">
        <v>112</v>
      </c>
      <c r="B113" t="s">
        <v>16</v>
      </c>
      <c r="C113">
        <v>19</v>
      </c>
      <c r="D113" t="s">
        <v>12</v>
      </c>
      <c r="E113">
        <v>40.32</v>
      </c>
      <c r="F113">
        <v>850</v>
      </c>
      <c r="G113">
        <v>4</v>
      </c>
      <c r="H113" t="s">
        <v>23</v>
      </c>
      <c r="I113">
        <v>63</v>
      </c>
      <c r="J113">
        <v>54</v>
      </c>
      <c r="K113" t="str">
        <f t="shared" si="3"/>
        <v>1. VIP / high income &amp; high spend (main target)</v>
      </c>
    </row>
    <row r="114" spans="1:11" x14ac:dyDescent="0.2">
      <c r="A114">
        <v>113</v>
      </c>
      <c r="B114" t="s">
        <v>16</v>
      </c>
      <c r="C114">
        <v>38</v>
      </c>
      <c r="D114" t="s">
        <v>21</v>
      </c>
      <c r="E114">
        <v>46.08</v>
      </c>
      <c r="F114">
        <v>850</v>
      </c>
      <c r="G114">
        <v>5</v>
      </c>
      <c r="H114" t="s">
        <v>22</v>
      </c>
      <c r="I114">
        <v>64</v>
      </c>
      <c r="J114">
        <v>42</v>
      </c>
      <c r="K114" t="str">
        <f t="shared" si="3"/>
        <v>2. high income &amp; low spend (high potential)</v>
      </c>
    </row>
    <row r="115" spans="1:11" x14ac:dyDescent="0.2">
      <c r="A115">
        <v>114</v>
      </c>
      <c r="B115" t="s">
        <v>11</v>
      </c>
      <c r="C115">
        <v>19</v>
      </c>
      <c r="D115" t="s">
        <v>12</v>
      </c>
      <c r="E115">
        <v>44.37</v>
      </c>
      <c r="F115">
        <v>850</v>
      </c>
      <c r="G115">
        <v>4</v>
      </c>
      <c r="H115" t="s">
        <v>23</v>
      </c>
      <c r="I115">
        <v>64</v>
      </c>
      <c r="J115">
        <v>46</v>
      </c>
      <c r="K115" t="str">
        <f t="shared" si="3"/>
        <v>2. high income &amp; low spend (high potential)</v>
      </c>
    </row>
    <row r="116" spans="1:11" x14ac:dyDescent="0.2">
      <c r="A116">
        <v>115</v>
      </c>
      <c r="B116" t="s">
        <v>16</v>
      </c>
      <c r="C116">
        <v>18</v>
      </c>
      <c r="E116">
        <v>44.2</v>
      </c>
      <c r="F116">
        <v>850</v>
      </c>
      <c r="G116">
        <v>4</v>
      </c>
      <c r="H116" t="s">
        <v>22</v>
      </c>
      <c r="I116">
        <v>65</v>
      </c>
      <c r="J116">
        <v>48</v>
      </c>
      <c r="K116" t="str">
        <f t="shared" si="3"/>
        <v>2. high income &amp; low spend (high potential)</v>
      </c>
    </row>
    <row r="117" spans="1:11" x14ac:dyDescent="0.2">
      <c r="A117">
        <v>116</v>
      </c>
      <c r="B117" t="s">
        <v>16</v>
      </c>
      <c r="C117">
        <v>19</v>
      </c>
      <c r="D117" t="s">
        <v>12</v>
      </c>
      <c r="E117">
        <v>43.33</v>
      </c>
      <c r="F117">
        <v>850</v>
      </c>
      <c r="G117">
        <v>4</v>
      </c>
      <c r="H117" t="s">
        <v>23</v>
      </c>
      <c r="I117">
        <v>65</v>
      </c>
      <c r="J117">
        <v>50</v>
      </c>
      <c r="K117" t="str">
        <f t="shared" si="3"/>
        <v>1. VIP / high income &amp; high spend (main target)</v>
      </c>
    </row>
    <row r="118" spans="1:11" x14ac:dyDescent="0.2">
      <c r="A118">
        <v>117</v>
      </c>
      <c r="B118" t="s">
        <v>16</v>
      </c>
      <c r="C118">
        <v>63</v>
      </c>
      <c r="D118" t="s">
        <v>19</v>
      </c>
      <c r="E118">
        <v>46.37</v>
      </c>
      <c r="F118">
        <v>850</v>
      </c>
      <c r="G118">
        <v>8</v>
      </c>
      <c r="H118" t="s">
        <v>22</v>
      </c>
      <c r="I118">
        <v>65</v>
      </c>
      <c r="J118">
        <v>43</v>
      </c>
      <c r="K118" t="str">
        <f t="shared" si="3"/>
        <v>2. high income &amp; low spend (high potential)</v>
      </c>
    </row>
    <row r="119" spans="1:11" x14ac:dyDescent="0.2">
      <c r="A119">
        <v>118</v>
      </c>
      <c r="B119" t="s">
        <v>16</v>
      </c>
      <c r="C119">
        <v>49</v>
      </c>
      <c r="D119" t="s">
        <v>21</v>
      </c>
      <c r="E119">
        <v>39.43</v>
      </c>
      <c r="F119">
        <v>850</v>
      </c>
      <c r="G119">
        <v>7</v>
      </c>
      <c r="H119" t="s">
        <v>22</v>
      </c>
      <c r="I119">
        <v>65</v>
      </c>
      <c r="J119">
        <v>59</v>
      </c>
      <c r="K119" t="str">
        <f t="shared" si="3"/>
        <v>1. VIP / high income &amp; high spend (main target)</v>
      </c>
    </row>
    <row r="120" spans="1:11" x14ac:dyDescent="0.2">
      <c r="A120">
        <v>119</v>
      </c>
      <c r="B120" t="s">
        <v>16</v>
      </c>
      <c r="C120">
        <v>51</v>
      </c>
      <c r="D120" t="s">
        <v>19</v>
      </c>
      <c r="E120">
        <v>47.79</v>
      </c>
      <c r="F120">
        <v>850</v>
      </c>
      <c r="G120">
        <v>7</v>
      </c>
      <c r="H120" t="s">
        <v>22</v>
      </c>
      <c r="I120">
        <v>67</v>
      </c>
      <c r="J120">
        <v>43</v>
      </c>
      <c r="K120" t="str">
        <f t="shared" si="3"/>
        <v>2. high income &amp; low spend (high potential)</v>
      </c>
    </row>
    <row r="121" spans="1:11" x14ac:dyDescent="0.2">
      <c r="A121">
        <v>120</v>
      </c>
      <c r="B121" t="s">
        <v>16</v>
      </c>
      <c r="C121">
        <v>50</v>
      </c>
      <c r="D121" t="s">
        <v>21</v>
      </c>
      <c r="E121">
        <v>41.54</v>
      </c>
      <c r="F121">
        <v>850</v>
      </c>
      <c r="G121">
        <v>7</v>
      </c>
      <c r="H121" t="s">
        <v>22</v>
      </c>
      <c r="I121">
        <v>67</v>
      </c>
      <c r="J121">
        <v>57</v>
      </c>
      <c r="K121" t="str">
        <f t="shared" si="3"/>
        <v>1. VIP / high income &amp; high spend (main target)</v>
      </c>
    </row>
    <row r="122" spans="1:11" x14ac:dyDescent="0.2">
      <c r="A122">
        <v>121</v>
      </c>
      <c r="B122" t="s">
        <v>11</v>
      </c>
      <c r="C122">
        <v>27</v>
      </c>
      <c r="D122" t="s">
        <v>18</v>
      </c>
      <c r="E122">
        <v>41.99</v>
      </c>
      <c r="F122">
        <v>850</v>
      </c>
      <c r="G122">
        <v>5</v>
      </c>
      <c r="H122" t="s">
        <v>23</v>
      </c>
      <c r="I122">
        <v>67</v>
      </c>
      <c r="J122">
        <v>56</v>
      </c>
      <c r="K122" t="str">
        <f t="shared" si="3"/>
        <v>1. VIP / high income &amp; high spend (main target)</v>
      </c>
    </row>
    <row r="123" spans="1:11" x14ac:dyDescent="0.2">
      <c r="A123">
        <v>122</v>
      </c>
      <c r="B123" t="s">
        <v>16</v>
      </c>
      <c r="C123">
        <v>38</v>
      </c>
      <c r="D123" t="s">
        <v>21</v>
      </c>
      <c r="E123">
        <v>49.13</v>
      </c>
      <c r="F123">
        <v>850</v>
      </c>
      <c r="G123">
        <v>5</v>
      </c>
      <c r="H123" t="s">
        <v>22</v>
      </c>
      <c r="I123">
        <v>67</v>
      </c>
      <c r="J123">
        <v>40</v>
      </c>
      <c r="K123" t="str">
        <f t="shared" si="3"/>
        <v>2. high income &amp; low spend (high potential)</v>
      </c>
    </row>
    <row r="124" spans="1:11" x14ac:dyDescent="0.2">
      <c r="A124">
        <v>123</v>
      </c>
      <c r="B124" t="s">
        <v>16</v>
      </c>
      <c r="C124">
        <v>40</v>
      </c>
      <c r="D124" t="s">
        <v>21</v>
      </c>
      <c r="E124">
        <v>42.32</v>
      </c>
      <c r="F124">
        <v>850</v>
      </c>
      <c r="G124">
        <v>6</v>
      </c>
      <c r="H124" t="s">
        <v>22</v>
      </c>
      <c r="I124">
        <v>69</v>
      </c>
      <c r="J124">
        <v>58</v>
      </c>
      <c r="K124" t="str">
        <f t="shared" si="3"/>
        <v>1. VIP / high income &amp; high spend (main target)</v>
      </c>
    </row>
    <row r="125" spans="1:11" x14ac:dyDescent="0.2">
      <c r="A125">
        <v>124</v>
      </c>
      <c r="B125" t="s">
        <v>11</v>
      </c>
      <c r="C125">
        <v>39</v>
      </c>
      <c r="D125" t="s">
        <v>21</v>
      </c>
      <c r="E125">
        <v>27.14</v>
      </c>
      <c r="F125">
        <v>725</v>
      </c>
      <c r="G125">
        <v>8</v>
      </c>
      <c r="H125" t="s">
        <v>14</v>
      </c>
      <c r="I125">
        <v>69</v>
      </c>
      <c r="J125">
        <v>91</v>
      </c>
      <c r="K125" t="str">
        <f t="shared" si="3"/>
        <v>1. VIP / high income &amp; high spend (main target)</v>
      </c>
    </row>
    <row r="126" spans="1:11" x14ac:dyDescent="0.2">
      <c r="A126">
        <v>125</v>
      </c>
      <c r="B126" t="s">
        <v>16</v>
      </c>
      <c r="C126">
        <v>23</v>
      </c>
      <c r="D126" t="s">
        <v>12</v>
      </c>
      <c r="E126">
        <v>56.47</v>
      </c>
      <c r="F126">
        <v>850</v>
      </c>
      <c r="G126">
        <v>3</v>
      </c>
      <c r="H126" t="s">
        <v>23</v>
      </c>
      <c r="I126">
        <v>70</v>
      </c>
      <c r="J126">
        <v>29</v>
      </c>
      <c r="K126" t="str">
        <f t="shared" si="3"/>
        <v>2. high income &amp; low spend (high potential)</v>
      </c>
    </row>
    <row r="127" spans="1:11" x14ac:dyDescent="0.2">
      <c r="A127">
        <v>126</v>
      </c>
      <c r="B127" t="s">
        <v>16</v>
      </c>
      <c r="C127">
        <v>31</v>
      </c>
      <c r="D127" t="s">
        <v>18</v>
      </c>
      <c r="E127">
        <v>34.07</v>
      </c>
      <c r="F127">
        <v>771</v>
      </c>
      <c r="G127">
        <v>6</v>
      </c>
      <c r="H127" t="s">
        <v>14</v>
      </c>
      <c r="I127">
        <v>70</v>
      </c>
      <c r="J127">
        <v>77</v>
      </c>
      <c r="K127" t="str">
        <f t="shared" si="3"/>
        <v>1. VIP / high income &amp; high spend (main target)</v>
      </c>
    </row>
    <row r="128" spans="1:11" x14ac:dyDescent="0.2">
      <c r="A128">
        <v>127</v>
      </c>
      <c r="B128" t="s">
        <v>11</v>
      </c>
      <c r="C128">
        <v>43</v>
      </c>
      <c r="D128" t="s">
        <v>21</v>
      </c>
      <c r="E128">
        <v>54.43</v>
      </c>
      <c r="F128">
        <v>850</v>
      </c>
      <c r="G128">
        <v>6</v>
      </c>
      <c r="H128" t="s">
        <v>22</v>
      </c>
      <c r="I128">
        <v>71</v>
      </c>
      <c r="J128">
        <v>35</v>
      </c>
      <c r="K128" t="str">
        <f t="shared" si="3"/>
        <v>2. high income &amp; low spend (high potential)</v>
      </c>
    </row>
    <row r="129" spans="1:11" x14ac:dyDescent="0.2">
      <c r="A129">
        <v>128</v>
      </c>
      <c r="B129" t="s">
        <v>11</v>
      </c>
      <c r="C129">
        <v>40</v>
      </c>
      <c r="D129" t="s">
        <v>21</v>
      </c>
      <c r="E129">
        <v>26.03</v>
      </c>
      <c r="F129">
        <v>756</v>
      </c>
      <c r="G129">
        <v>8</v>
      </c>
      <c r="H129" t="s">
        <v>14</v>
      </c>
      <c r="I129">
        <v>71</v>
      </c>
      <c r="J129">
        <v>95</v>
      </c>
      <c r="K129" t="str">
        <f t="shared" si="3"/>
        <v>1. VIP / high income &amp; high spend (main target)</v>
      </c>
    </row>
    <row r="130" spans="1:11" x14ac:dyDescent="0.2">
      <c r="A130">
        <v>129</v>
      </c>
      <c r="B130" t="s">
        <v>11</v>
      </c>
      <c r="C130">
        <v>59</v>
      </c>
      <c r="D130" t="s">
        <v>19</v>
      </c>
      <c r="E130">
        <v>65.790000000000006</v>
      </c>
      <c r="F130">
        <v>850</v>
      </c>
      <c r="G130">
        <v>6</v>
      </c>
      <c r="H130" t="s">
        <v>22</v>
      </c>
      <c r="I130">
        <v>71</v>
      </c>
      <c r="J130">
        <v>11</v>
      </c>
      <c r="K130" t="str">
        <f t="shared" ref="K130:K161" si="4">IF(AND(I130&gt;=$N$3,J130&gt;=$N$4), "1. VIP / high income &amp; high spend (main target)", IF(AND(I130&gt;=$N$3,J130&lt;$N$4), "2. high income &amp; low spend (high potential)", IF(AND(I130&lt;$N$3,J130&gt;=$N$4), "3. low income &amp; high spend (regular customer/shopper)", "4. low income &amp; low spend (economy class)")))</f>
        <v>2. high income &amp; low spend (high potential)</v>
      </c>
    </row>
    <row r="131" spans="1:11" x14ac:dyDescent="0.2">
      <c r="A131">
        <v>130</v>
      </c>
      <c r="B131" t="s">
        <v>11</v>
      </c>
      <c r="C131">
        <v>38</v>
      </c>
      <c r="D131" t="s">
        <v>21</v>
      </c>
      <c r="E131">
        <v>35.5</v>
      </c>
      <c r="F131">
        <v>818</v>
      </c>
      <c r="G131">
        <v>7</v>
      </c>
      <c r="H131" t="s">
        <v>14</v>
      </c>
      <c r="I131">
        <v>71</v>
      </c>
      <c r="J131">
        <v>75</v>
      </c>
      <c r="K131" t="str">
        <f t="shared" si="4"/>
        <v>1. VIP / high income &amp; high spend (main target)</v>
      </c>
    </row>
    <row r="132" spans="1:11" x14ac:dyDescent="0.2">
      <c r="A132">
        <v>131</v>
      </c>
      <c r="B132" t="s">
        <v>11</v>
      </c>
      <c r="C132">
        <v>47</v>
      </c>
      <c r="D132" t="s">
        <v>21</v>
      </c>
      <c r="E132">
        <v>66.739999999999995</v>
      </c>
      <c r="F132">
        <v>850</v>
      </c>
      <c r="G132">
        <v>5</v>
      </c>
      <c r="H132" t="s">
        <v>22</v>
      </c>
      <c r="I132">
        <v>71</v>
      </c>
      <c r="J132">
        <v>9</v>
      </c>
      <c r="K132" t="str">
        <f t="shared" si="4"/>
        <v>2. high income &amp; low spend (high potential)</v>
      </c>
    </row>
    <row r="133" spans="1:11" x14ac:dyDescent="0.2">
      <c r="A133">
        <v>132</v>
      </c>
      <c r="B133" t="s">
        <v>11</v>
      </c>
      <c r="C133">
        <v>39</v>
      </c>
      <c r="D133" t="s">
        <v>21</v>
      </c>
      <c r="E133">
        <v>35.5</v>
      </c>
      <c r="F133">
        <v>832</v>
      </c>
      <c r="G133">
        <v>7</v>
      </c>
      <c r="H133" t="s">
        <v>14</v>
      </c>
      <c r="I133">
        <v>71</v>
      </c>
      <c r="J133">
        <v>75</v>
      </c>
      <c r="K133" t="str">
        <f t="shared" si="4"/>
        <v>1. VIP / high income &amp; high spend (main target)</v>
      </c>
    </row>
    <row r="134" spans="1:11" x14ac:dyDescent="0.2">
      <c r="A134">
        <v>133</v>
      </c>
      <c r="B134" t="s">
        <v>16</v>
      </c>
      <c r="C134">
        <v>25</v>
      </c>
      <c r="D134" t="s">
        <v>12</v>
      </c>
      <c r="E134">
        <v>55.68</v>
      </c>
      <c r="F134">
        <v>850</v>
      </c>
      <c r="G134">
        <v>4</v>
      </c>
      <c r="H134" t="s">
        <v>23</v>
      </c>
      <c r="I134">
        <v>72</v>
      </c>
      <c r="J134">
        <v>34</v>
      </c>
      <c r="K134" t="str">
        <f t="shared" si="4"/>
        <v>2. high income &amp; low spend (high potential)</v>
      </c>
    </row>
    <row r="135" spans="1:11" x14ac:dyDescent="0.2">
      <c r="A135">
        <v>134</v>
      </c>
      <c r="B135" t="s">
        <v>16</v>
      </c>
      <c r="C135">
        <v>31</v>
      </c>
      <c r="D135" t="s">
        <v>18</v>
      </c>
      <c r="E135">
        <v>37.92</v>
      </c>
      <c r="F135">
        <v>850</v>
      </c>
      <c r="G135">
        <v>6</v>
      </c>
      <c r="H135" t="s">
        <v>14</v>
      </c>
      <c r="I135">
        <v>72</v>
      </c>
      <c r="J135">
        <v>71</v>
      </c>
      <c r="K135" t="str">
        <f t="shared" si="4"/>
        <v>1. VIP / high income &amp; high spend (main target)</v>
      </c>
    </row>
    <row r="136" spans="1:11" x14ac:dyDescent="0.2">
      <c r="A136">
        <v>135</v>
      </c>
      <c r="B136" t="s">
        <v>11</v>
      </c>
      <c r="C136">
        <v>20</v>
      </c>
      <c r="D136" t="s">
        <v>12</v>
      </c>
      <c r="E136">
        <v>70.569999999999993</v>
      </c>
      <c r="F136">
        <v>850</v>
      </c>
      <c r="G136">
        <v>2</v>
      </c>
      <c r="H136" t="s">
        <v>23</v>
      </c>
      <c r="I136">
        <v>73</v>
      </c>
      <c r="J136">
        <v>5</v>
      </c>
      <c r="K136" t="str">
        <f t="shared" si="4"/>
        <v>2. high income &amp; low spend (high potential)</v>
      </c>
    </row>
    <row r="137" spans="1:11" x14ac:dyDescent="0.2">
      <c r="A137">
        <v>136</v>
      </c>
      <c r="B137" t="s">
        <v>16</v>
      </c>
      <c r="C137">
        <v>29</v>
      </c>
      <c r="D137" t="s">
        <v>18</v>
      </c>
      <c r="E137">
        <v>30.17</v>
      </c>
      <c r="F137">
        <v>776</v>
      </c>
      <c r="G137">
        <v>7</v>
      </c>
      <c r="H137" t="s">
        <v>14</v>
      </c>
      <c r="I137">
        <v>73</v>
      </c>
      <c r="J137">
        <v>88</v>
      </c>
      <c r="K137" t="str">
        <f t="shared" si="4"/>
        <v>1. VIP / high income &amp; high spend (main target)</v>
      </c>
    </row>
    <row r="138" spans="1:11" x14ac:dyDescent="0.2">
      <c r="A138">
        <v>137</v>
      </c>
      <c r="B138" t="s">
        <v>16</v>
      </c>
      <c r="C138">
        <v>44</v>
      </c>
      <c r="D138" t="s">
        <v>21</v>
      </c>
      <c r="E138">
        <v>69.59</v>
      </c>
      <c r="F138">
        <v>850</v>
      </c>
      <c r="G138">
        <v>4</v>
      </c>
      <c r="H138" t="s">
        <v>22</v>
      </c>
      <c r="I138">
        <v>73</v>
      </c>
      <c r="J138">
        <v>7</v>
      </c>
      <c r="K138" t="str">
        <f t="shared" si="4"/>
        <v>2. high income &amp; low spend (high potential)</v>
      </c>
    </row>
    <row r="139" spans="1:11" x14ac:dyDescent="0.2">
      <c r="A139">
        <v>138</v>
      </c>
      <c r="B139" t="s">
        <v>11</v>
      </c>
      <c r="C139">
        <v>32</v>
      </c>
      <c r="D139" t="s">
        <v>18</v>
      </c>
      <c r="E139">
        <v>37.47</v>
      </c>
      <c r="F139">
        <v>850</v>
      </c>
      <c r="G139">
        <v>6</v>
      </c>
      <c r="H139" t="s">
        <v>14</v>
      </c>
      <c r="I139">
        <v>73</v>
      </c>
      <c r="J139">
        <v>73</v>
      </c>
      <c r="K139" t="str">
        <f t="shared" si="4"/>
        <v>1. VIP / high income &amp; high spend (main target)</v>
      </c>
    </row>
    <row r="140" spans="1:11" x14ac:dyDescent="0.2">
      <c r="A140">
        <v>139</v>
      </c>
      <c r="B140" t="s">
        <v>11</v>
      </c>
      <c r="C140">
        <v>19</v>
      </c>
      <c r="D140" t="s">
        <v>12</v>
      </c>
      <c r="E140">
        <v>69.069999999999993</v>
      </c>
      <c r="F140">
        <v>850</v>
      </c>
      <c r="G140">
        <v>2</v>
      </c>
      <c r="H140" t="s">
        <v>23</v>
      </c>
      <c r="I140">
        <v>74</v>
      </c>
      <c r="J140">
        <v>10</v>
      </c>
      <c r="K140" t="str">
        <f t="shared" si="4"/>
        <v>2. high income &amp; low spend (high potential)</v>
      </c>
    </row>
    <row r="141" spans="1:11" x14ac:dyDescent="0.2">
      <c r="A141">
        <v>140</v>
      </c>
      <c r="B141" t="s">
        <v>16</v>
      </c>
      <c r="C141">
        <v>35</v>
      </c>
      <c r="D141" t="s">
        <v>18</v>
      </c>
      <c r="E141">
        <v>38.479999999999997</v>
      </c>
      <c r="F141">
        <v>850</v>
      </c>
      <c r="G141">
        <v>7</v>
      </c>
      <c r="H141" t="s">
        <v>14</v>
      </c>
      <c r="I141">
        <v>74</v>
      </c>
      <c r="J141">
        <v>72</v>
      </c>
      <c r="K141" t="str">
        <f t="shared" si="4"/>
        <v>1. VIP / high income &amp; high spend (main target)</v>
      </c>
    </row>
    <row r="142" spans="1:11" x14ac:dyDescent="0.2">
      <c r="A142">
        <v>141</v>
      </c>
      <c r="B142" t="s">
        <v>16</v>
      </c>
      <c r="C142">
        <v>57</v>
      </c>
      <c r="D142" t="s">
        <v>19</v>
      </c>
      <c r="E142">
        <v>72.5</v>
      </c>
      <c r="F142">
        <v>850</v>
      </c>
      <c r="G142">
        <v>5</v>
      </c>
      <c r="H142" t="s">
        <v>22</v>
      </c>
      <c r="I142">
        <v>75</v>
      </c>
      <c r="J142">
        <v>5</v>
      </c>
      <c r="K142" t="str">
        <f t="shared" si="4"/>
        <v>2. high income &amp; low spend (high potential)</v>
      </c>
    </row>
    <row r="143" spans="1:11" x14ac:dyDescent="0.2">
      <c r="A143">
        <v>142</v>
      </c>
      <c r="B143" t="s">
        <v>11</v>
      </c>
      <c r="C143">
        <v>32</v>
      </c>
      <c r="D143" t="s">
        <v>18</v>
      </c>
      <c r="E143">
        <v>28.5</v>
      </c>
      <c r="F143">
        <v>799</v>
      </c>
      <c r="G143">
        <v>7</v>
      </c>
      <c r="H143" t="s">
        <v>14</v>
      </c>
      <c r="I143">
        <v>75</v>
      </c>
      <c r="J143">
        <v>93</v>
      </c>
      <c r="K143" t="str">
        <f t="shared" si="4"/>
        <v>1. VIP / high income &amp; high spend (main target)</v>
      </c>
    </row>
    <row r="144" spans="1:11" x14ac:dyDescent="0.2">
      <c r="A144">
        <v>143</v>
      </c>
      <c r="B144" t="s">
        <v>16</v>
      </c>
      <c r="C144">
        <v>28</v>
      </c>
      <c r="D144" t="s">
        <v>18</v>
      </c>
      <c r="E144">
        <v>55.73</v>
      </c>
      <c r="F144">
        <v>850</v>
      </c>
      <c r="G144">
        <v>4</v>
      </c>
      <c r="H144" t="s">
        <v>23</v>
      </c>
      <c r="I144">
        <v>76</v>
      </c>
      <c r="J144">
        <v>40</v>
      </c>
      <c r="K144" t="str">
        <f t="shared" si="4"/>
        <v>2. high income &amp; low spend (high potential)</v>
      </c>
    </row>
    <row r="145" spans="1:11" x14ac:dyDescent="0.2">
      <c r="A145">
        <v>144</v>
      </c>
      <c r="B145" t="s">
        <v>16</v>
      </c>
      <c r="C145">
        <v>32</v>
      </c>
      <c r="D145" t="s">
        <v>18</v>
      </c>
      <c r="E145">
        <v>31.92</v>
      </c>
      <c r="F145">
        <v>821</v>
      </c>
      <c r="G145">
        <v>7</v>
      </c>
      <c r="H145" t="s">
        <v>14</v>
      </c>
      <c r="I145">
        <v>76</v>
      </c>
      <c r="J145">
        <v>87</v>
      </c>
      <c r="K145" t="str">
        <f t="shared" si="4"/>
        <v>1. VIP / high income &amp; high spend (main target)</v>
      </c>
    </row>
    <row r="146" spans="1:11" x14ac:dyDescent="0.2">
      <c r="A146">
        <v>145</v>
      </c>
      <c r="B146" t="s">
        <v>11</v>
      </c>
      <c r="C146">
        <v>25</v>
      </c>
      <c r="D146" t="s">
        <v>12</v>
      </c>
      <c r="E146">
        <v>70.84</v>
      </c>
      <c r="F146">
        <v>850</v>
      </c>
      <c r="G146">
        <v>3</v>
      </c>
      <c r="H146" t="s">
        <v>23</v>
      </c>
      <c r="I146">
        <v>77</v>
      </c>
      <c r="J146">
        <v>12</v>
      </c>
      <c r="K146" t="str">
        <f t="shared" si="4"/>
        <v>2. high income &amp; low spend (high potential)</v>
      </c>
    </row>
    <row r="147" spans="1:11" x14ac:dyDescent="0.2">
      <c r="A147">
        <v>146</v>
      </c>
      <c r="B147" t="s">
        <v>11</v>
      </c>
      <c r="C147">
        <v>28</v>
      </c>
      <c r="D147" t="s">
        <v>18</v>
      </c>
      <c r="E147">
        <v>27.21</v>
      </c>
      <c r="F147">
        <v>737</v>
      </c>
      <c r="G147">
        <v>7</v>
      </c>
      <c r="H147" t="s">
        <v>14</v>
      </c>
      <c r="I147">
        <v>77</v>
      </c>
      <c r="J147">
        <v>97</v>
      </c>
      <c r="K147" t="str">
        <f t="shared" si="4"/>
        <v>1. VIP / high income &amp; high spend (main target)</v>
      </c>
    </row>
    <row r="148" spans="1:11" x14ac:dyDescent="0.2">
      <c r="A148">
        <v>147</v>
      </c>
      <c r="B148" t="s">
        <v>11</v>
      </c>
      <c r="C148">
        <v>48</v>
      </c>
      <c r="D148" t="s">
        <v>21</v>
      </c>
      <c r="E148">
        <v>58.52</v>
      </c>
      <c r="F148">
        <v>850</v>
      </c>
      <c r="G148">
        <v>6</v>
      </c>
      <c r="H148" t="s">
        <v>22</v>
      </c>
      <c r="I148">
        <v>77</v>
      </c>
      <c r="J148">
        <v>36</v>
      </c>
      <c r="K148" t="str">
        <f t="shared" si="4"/>
        <v>2. high income &amp; low spend (high potential)</v>
      </c>
    </row>
    <row r="149" spans="1:11" x14ac:dyDescent="0.2">
      <c r="A149">
        <v>148</v>
      </c>
      <c r="B149" t="s">
        <v>16</v>
      </c>
      <c r="C149">
        <v>32</v>
      </c>
      <c r="D149" t="s">
        <v>18</v>
      </c>
      <c r="E149">
        <v>39.01</v>
      </c>
      <c r="F149">
        <v>850</v>
      </c>
      <c r="G149">
        <v>6</v>
      </c>
      <c r="H149" t="s">
        <v>14</v>
      </c>
      <c r="I149">
        <v>77</v>
      </c>
      <c r="J149">
        <v>74</v>
      </c>
      <c r="K149" t="str">
        <f t="shared" si="4"/>
        <v>1. VIP / high income &amp; high spend (main target)</v>
      </c>
    </row>
    <row r="150" spans="1:11" x14ac:dyDescent="0.2">
      <c r="A150">
        <v>149</v>
      </c>
      <c r="B150" t="s">
        <v>16</v>
      </c>
      <c r="C150">
        <v>34</v>
      </c>
      <c r="D150" t="s">
        <v>18</v>
      </c>
      <c r="E150">
        <v>66.56</v>
      </c>
      <c r="F150">
        <v>850</v>
      </c>
      <c r="G150">
        <v>4</v>
      </c>
      <c r="H150" t="s">
        <v>23</v>
      </c>
      <c r="I150">
        <v>78</v>
      </c>
      <c r="J150">
        <v>22</v>
      </c>
      <c r="K150" t="str">
        <f t="shared" si="4"/>
        <v>2. high income &amp; low spend (high potential)</v>
      </c>
    </row>
    <row r="151" spans="1:11" x14ac:dyDescent="0.2">
      <c r="A151">
        <v>150</v>
      </c>
      <c r="B151" t="s">
        <v>11</v>
      </c>
      <c r="C151">
        <v>34</v>
      </c>
      <c r="D151" t="s">
        <v>18</v>
      </c>
      <c r="E151">
        <v>31.2</v>
      </c>
      <c r="F151">
        <v>793</v>
      </c>
      <c r="G151">
        <v>7</v>
      </c>
      <c r="H151" t="s">
        <v>14</v>
      </c>
      <c r="I151">
        <v>78</v>
      </c>
      <c r="J151">
        <v>90</v>
      </c>
      <c r="K151" t="str">
        <f t="shared" si="4"/>
        <v>1. VIP / high income &amp; high spend (main target)</v>
      </c>
    </row>
    <row r="152" spans="1:11" x14ac:dyDescent="0.2">
      <c r="A152">
        <v>151</v>
      </c>
      <c r="B152" t="s">
        <v>11</v>
      </c>
      <c r="C152">
        <v>43</v>
      </c>
      <c r="D152" t="s">
        <v>21</v>
      </c>
      <c r="E152">
        <v>69.16</v>
      </c>
      <c r="F152">
        <v>850</v>
      </c>
      <c r="G152">
        <v>5</v>
      </c>
      <c r="H152" t="s">
        <v>22</v>
      </c>
      <c r="I152">
        <v>78</v>
      </c>
      <c r="J152">
        <v>17</v>
      </c>
      <c r="K152" t="str">
        <f t="shared" si="4"/>
        <v>2. high income &amp; low spend (high potential)</v>
      </c>
    </row>
    <row r="153" spans="1:11" x14ac:dyDescent="0.2">
      <c r="A153">
        <v>152</v>
      </c>
      <c r="B153" t="s">
        <v>11</v>
      </c>
      <c r="C153">
        <v>39</v>
      </c>
      <c r="D153" t="s">
        <v>21</v>
      </c>
      <c r="E153">
        <v>32.24</v>
      </c>
      <c r="F153">
        <v>798</v>
      </c>
      <c r="G153">
        <v>8</v>
      </c>
      <c r="H153" t="s">
        <v>14</v>
      </c>
      <c r="I153">
        <v>78</v>
      </c>
      <c r="J153">
        <v>88</v>
      </c>
      <c r="K153" t="str">
        <f t="shared" si="4"/>
        <v>1. VIP / high income &amp; high spend (main target)</v>
      </c>
    </row>
    <row r="154" spans="1:11" x14ac:dyDescent="0.2">
      <c r="A154">
        <v>153</v>
      </c>
      <c r="B154" t="s">
        <v>16</v>
      </c>
      <c r="C154">
        <v>44</v>
      </c>
      <c r="D154" t="s">
        <v>21</v>
      </c>
      <c r="E154">
        <v>67.599999999999994</v>
      </c>
      <c r="F154">
        <v>850</v>
      </c>
      <c r="G154">
        <v>5</v>
      </c>
      <c r="H154" t="s">
        <v>22</v>
      </c>
      <c r="I154">
        <v>78</v>
      </c>
      <c r="J154">
        <v>20</v>
      </c>
      <c r="K154" t="str">
        <f t="shared" si="4"/>
        <v>2. high income &amp; low spend (high potential)</v>
      </c>
    </row>
    <row r="155" spans="1:11" x14ac:dyDescent="0.2">
      <c r="A155">
        <v>154</v>
      </c>
      <c r="B155" t="s">
        <v>16</v>
      </c>
      <c r="C155">
        <v>38</v>
      </c>
      <c r="D155" t="s">
        <v>21</v>
      </c>
      <c r="E155">
        <v>38.479999999999997</v>
      </c>
      <c r="F155">
        <v>850</v>
      </c>
      <c r="G155">
        <v>7</v>
      </c>
      <c r="H155" t="s">
        <v>14</v>
      </c>
      <c r="I155">
        <v>78</v>
      </c>
      <c r="J155">
        <v>76</v>
      </c>
      <c r="K155" t="str">
        <f t="shared" si="4"/>
        <v>1. VIP / high income &amp; high spend (main target)</v>
      </c>
    </row>
    <row r="156" spans="1:11" x14ac:dyDescent="0.2">
      <c r="A156">
        <v>155</v>
      </c>
      <c r="B156" t="s">
        <v>16</v>
      </c>
      <c r="C156">
        <v>47</v>
      </c>
      <c r="D156" t="s">
        <v>21</v>
      </c>
      <c r="E156">
        <v>69.680000000000007</v>
      </c>
      <c r="F156">
        <v>850</v>
      </c>
      <c r="G156">
        <v>5</v>
      </c>
      <c r="H156" t="s">
        <v>22</v>
      </c>
      <c r="I156">
        <v>78</v>
      </c>
      <c r="J156">
        <v>16</v>
      </c>
      <c r="K156" t="str">
        <f t="shared" si="4"/>
        <v>2. high income &amp; low spend (high potential)</v>
      </c>
    </row>
    <row r="157" spans="1:11" x14ac:dyDescent="0.2">
      <c r="A157">
        <v>156</v>
      </c>
      <c r="B157" t="s">
        <v>16</v>
      </c>
      <c r="C157">
        <v>27</v>
      </c>
      <c r="D157" t="s">
        <v>18</v>
      </c>
      <c r="E157">
        <v>31.72</v>
      </c>
      <c r="F157">
        <v>826</v>
      </c>
      <c r="G157">
        <v>7</v>
      </c>
      <c r="H157" t="s">
        <v>14</v>
      </c>
      <c r="I157">
        <v>78</v>
      </c>
      <c r="J157">
        <v>89</v>
      </c>
      <c r="K157" t="str">
        <f t="shared" si="4"/>
        <v>1. VIP / high income &amp; high spend (main target)</v>
      </c>
    </row>
    <row r="158" spans="1:11" x14ac:dyDescent="0.2">
      <c r="A158">
        <v>157</v>
      </c>
      <c r="B158" t="s">
        <v>11</v>
      </c>
      <c r="C158">
        <v>37</v>
      </c>
      <c r="D158" t="s">
        <v>21</v>
      </c>
      <c r="E158">
        <v>77.48</v>
      </c>
      <c r="F158">
        <v>850</v>
      </c>
      <c r="G158">
        <v>3</v>
      </c>
      <c r="H158" t="s">
        <v>22</v>
      </c>
      <c r="I158">
        <v>78</v>
      </c>
      <c r="J158">
        <v>1</v>
      </c>
      <c r="K158" t="str">
        <f t="shared" si="4"/>
        <v>2. high income &amp; low spend (high potential)</v>
      </c>
    </row>
    <row r="159" spans="1:11" x14ac:dyDescent="0.2">
      <c r="A159">
        <v>158</v>
      </c>
      <c r="B159" t="s">
        <v>16</v>
      </c>
      <c r="C159">
        <v>30</v>
      </c>
      <c r="D159" t="s">
        <v>18</v>
      </c>
      <c r="E159">
        <v>37.44</v>
      </c>
      <c r="F159">
        <v>850</v>
      </c>
      <c r="G159">
        <v>6</v>
      </c>
      <c r="H159" t="s">
        <v>14</v>
      </c>
      <c r="I159">
        <v>78</v>
      </c>
      <c r="J159">
        <v>78</v>
      </c>
      <c r="K159" t="str">
        <f t="shared" si="4"/>
        <v>1. VIP / high income &amp; high spend (main target)</v>
      </c>
    </row>
    <row r="160" spans="1:11" x14ac:dyDescent="0.2">
      <c r="A160">
        <v>159</v>
      </c>
      <c r="B160" t="s">
        <v>11</v>
      </c>
      <c r="C160">
        <v>34</v>
      </c>
      <c r="D160" t="s">
        <v>18</v>
      </c>
      <c r="E160">
        <v>77.48</v>
      </c>
      <c r="F160">
        <v>850</v>
      </c>
      <c r="G160">
        <v>3</v>
      </c>
      <c r="H160" t="s">
        <v>23</v>
      </c>
      <c r="I160">
        <v>78</v>
      </c>
      <c r="J160">
        <v>1</v>
      </c>
      <c r="K160" t="str">
        <f t="shared" si="4"/>
        <v>2. high income &amp; low spend (high potential)</v>
      </c>
    </row>
    <row r="161" spans="1:11" x14ac:dyDescent="0.2">
      <c r="A161">
        <v>160</v>
      </c>
      <c r="B161" t="s">
        <v>16</v>
      </c>
      <c r="C161">
        <v>30</v>
      </c>
      <c r="D161" t="s">
        <v>18</v>
      </c>
      <c r="E161">
        <v>40.04</v>
      </c>
      <c r="F161">
        <v>850</v>
      </c>
      <c r="G161">
        <v>6</v>
      </c>
      <c r="H161" t="s">
        <v>14</v>
      </c>
      <c r="I161">
        <v>78</v>
      </c>
      <c r="J161">
        <v>73</v>
      </c>
      <c r="K161" t="str">
        <f t="shared" si="4"/>
        <v>1. VIP / high income &amp; high spend (main target)</v>
      </c>
    </row>
    <row r="162" spans="1:11" x14ac:dyDescent="0.2">
      <c r="A162">
        <v>161</v>
      </c>
      <c r="B162" t="s">
        <v>16</v>
      </c>
      <c r="C162">
        <v>56</v>
      </c>
      <c r="D162" t="s">
        <v>19</v>
      </c>
      <c r="E162">
        <v>60.57</v>
      </c>
      <c r="F162">
        <v>850</v>
      </c>
      <c r="G162">
        <v>7</v>
      </c>
      <c r="H162" t="s">
        <v>22</v>
      </c>
      <c r="I162">
        <v>79</v>
      </c>
      <c r="J162">
        <v>35</v>
      </c>
      <c r="K162" t="str">
        <f t="shared" ref="K162:K193" si="5">IF(AND(I162&gt;=$N$3,J162&gt;=$N$4), "1. VIP / high income &amp; high spend (main target)", IF(AND(I162&gt;=$N$3,J162&lt;$N$4), "2. high income &amp; low spend (high potential)", IF(AND(I162&lt;$N$3,J162&gt;=$N$4), "3. low income &amp; high spend (regular customer/shopper)", "4. low income &amp; low spend (economy class)")))</f>
        <v>2. high income &amp; low spend (high potential)</v>
      </c>
    </row>
    <row r="163" spans="1:11" x14ac:dyDescent="0.2">
      <c r="A163">
        <v>162</v>
      </c>
      <c r="B163" t="s">
        <v>16</v>
      </c>
      <c r="C163">
        <v>29</v>
      </c>
      <c r="D163" t="s">
        <v>18</v>
      </c>
      <c r="E163">
        <v>35.29</v>
      </c>
      <c r="F163">
        <v>850</v>
      </c>
      <c r="G163">
        <v>7</v>
      </c>
      <c r="H163" t="s">
        <v>14</v>
      </c>
      <c r="I163">
        <v>79</v>
      </c>
      <c r="J163">
        <v>83</v>
      </c>
      <c r="K163" t="str">
        <f t="shared" si="5"/>
        <v>1. VIP / high income &amp; high spend (main target)</v>
      </c>
    </row>
    <row r="164" spans="1:11" x14ac:dyDescent="0.2">
      <c r="A164">
        <v>163</v>
      </c>
      <c r="B164" t="s">
        <v>11</v>
      </c>
      <c r="C164">
        <v>19</v>
      </c>
      <c r="D164" t="s">
        <v>12</v>
      </c>
      <c r="E164">
        <v>78.3</v>
      </c>
      <c r="F164">
        <v>850</v>
      </c>
      <c r="G164">
        <v>2</v>
      </c>
      <c r="H164" t="s">
        <v>23</v>
      </c>
      <c r="I164">
        <v>81</v>
      </c>
      <c r="J164">
        <v>5</v>
      </c>
      <c r="K164" t="str">
        <f t="shared" si="5"/>
        <v>2. high income &amp; low spend (high potential)</v>
      </c>
    </row>
    <row r="165" spans="1:11" x14ac:dyDescent="0.2">
      <c r="A165">
        <v>164</v>
      </c>
      <c r="B165" t="s">
        <v>16</v>
      </c>
      <c r="C165">
        <v>31</v>
      </c>
      <c r="D165" t="s">
        <v>18</v>
      </c>
      <c r="E165">
        <v>30.78</v>
      </c>
      <c r="F165">
        <v>850</v>
      </c>
      <c r="G165">
        <v>7</v>
      </c>
      <c r="H165" t="s">
        <v>14</v>
      </c>
      <c r="I165">
        <v>81</v>
      </c>
      <c r="J165">
        <v>93</v>
      </c>
      <c r="K165" t="str">
        <f t="shared" si="5"/>
        <v>1. VIP / high income &amp; high spend (main target)</v>
      </c>
    </row>
    <row r="166" spans="1:11" x14ac:dyDescent="0.2">
      <c r="A166">
        <v>165</v>
      </c>
      <c r="B166" t="s">
        <v>11</v>
      </c>
      <c r="C166">
        <v>50</v>
      </c>
      <c r="D166" t="s">
        <v>21</v>
      </c>
      <c r="E166">
        <v>70.27</v>
      </c>
      <c r="F166">
        <v>850</v>
      </c>
      <c r="G166">
        <v>6</v>
      </c>
      <c r="H166" t="s">
        <v>22</v>
      </c>
      <c r="I166">
        <v>85</v>
      </c>
      <c r="J166">
        <v>26</v>
      </c>
      <c r="K166" t="str">
        <f t="shared" si="5"/>
        <v>2. high income &amp; low spend (high potential)</v>
      </c>
    </row>
    <row r="167" spans="1:11" x14ac:dyDescent="0.2">
      <c r="A167">
        <v>166</v>
      </c>
      <c r="B167" t="s">
        <v>16</v>
      </c>
      <c r="C167">
        <v>36</v>
      </c>
      <c r="D167" t="s">
        <v>21</v>
      </c>
      <c r="E167">
        <v>42.5</v>
      </c>
      <c r="F167">
        <v>850</v>
      </c>
      <c r="G167">
        <v>7</v>
      </c>
      <c r="H167" t="s">
        <v>14</v>
      </c>
      <c r="I167">
        <v>85</v>
      </c>
      <c r="J167">
        <v>75</v>
      </c>
      <c r="K167" t="str">
        <f t="shared" si="5"/>
        <v>1. VIP / high income &amp; high spend (main target)</v>
      </c>
    </row>
    <row r="168" spans="1:11" x14ac:dyDescent="0.2">
      <c r="A168">
        <v>167</v>
      </c>
      <c r="B168" t="s">
        <v>11</v>
      </c>
      <c r="C168">
        <v>42</v>
      </c>
      <c r="D168" t="s">
        <v>21</v>
      </c>
      <c r="E168">
        <v>74.53</v>
      </c>
      <c r="F168">
        <v>850</v>
      </c>
      <c r="G168">
        <v>5</v>
      </c>
      <c r="H168" t="s">
        <v>22</v>
      </c>
      <c r="I168">
        <v>86</v>
      </c>
      <c r="J168">
        <v>20</v>
      </c>
      <c r="K168" t="str">
        <f t="shared" si="5"/>
        <v>2. high income &amp; low spend (high potential)</v>
      </c>
    </row>
    <row r="169" spans="1:11" x14ac:dyDescent="0.2">
      <c r="A169">
        <v>168</v>
      </c>
      <c r="B169" t="s">
        <v>16</v>
      </c>
      <c r="C169">
        <v>33</v>
      </c>
      <c r="D169" t="s">
        <v>18</v>
      </c>
      <c r="E169">
        <v>31.53</v>
      </c>
      <c r="F169">
        <v>850</v>
      </c>
      <c r="G169">
        <v>8</v>
      </c>
      <c r="H169" t="s">
        <v>14</v>
      </c>
      <c r="I169">
        <v>86</v>
      </c>
      <c r="J169">
        <v>95</v>
      </c>
      <c r="K169" t="str">
        <f t="shared" si="5"/>
        <v>1. VIP / high income &amp; high spend (main target)</v>
      </c>
    </row>
    <row r="170" spans="1:11" x14ac:dyDescent="0.2">
      <c r="A170">
        <v>169</v>
      </c>
      <c r="B170" t="s">
        <v>16</v>
      </c>
      <c r="C170">
        <v>36</v>
      </c>
      <c r="D170" t="s">
        <v>21</v>
      </c>
      <c r="E170">
        <v>71.34</v>
      </c>
      <c r="F170">
        <v>850</v>
      </c>
      <c r="G170">
        <v>4</v>
      </c>
      <c r="H170" t="s">
        <v>22</v>
      </c>
      <c r="I170">
        <v>87</v>
      </c>
      <c r="J170">
        <v>27</v>
      </c>
      <c r="K170" t="str">
        <f t="shared" si="5"/>
        <v>2. high income &amp; low spend (high potential)</v>
      </c>
    </row>
    <row r="171" spans="1:11" x14ac:dyDescent="0.2">
      <c r="A171">
        <v>170</v>
      </c>
      <c r="B171" t="s">
        <v>11</v>
      </c>
      <c r="C171">
        <v>32</v>
      </c>
      <c r="D171" t="s">
        <v>18</v>
      </c>
      <c r="E171">
        <v>50.46</v>
      </c>
      <c r="F171">
        <v>850</v>
      </c>
      <c r="G171">
        <v>6</v>
      </c>
      <c r="H171" t="s">
        <v>23</v>
      </c>
      <c r="I171">
        <v>87</v>
      </c>
      <c r="J171">
        <v>63</v>
      </c>
      <c r="K171" t="str">
        <f t="shared" si="5"/>
        <v>1. VIP / high income &amp; high spend (main target)</v>
      </c>
    </row>
    <row r="172" spans="1:11" x14ac:dyDescent="0.2">
      <c r="A172">
        <v>171</v>
      </c>
      <c r="B172" t="s">
        <v>11</v>
      </c>
      <c r="C172">
        <v>40</v>
      </c>
      <c r="D172" t="s">
        <v>21</v>
      </c>
      <c r="E172">
        <v>79.459999999999994</v>
      </c>
      <c r="F172">
        <v>850</v>
      </c>
      <c r="G172">
        <v>4</v>
      </c>
      <c r="H172" t="s">
        <v>22</v>
      </c>
      <c r="I172">
        <v>87</v>
      </c>
      <c r="J172">
        <v>13</v>
      </c>
      <c r="K172" t="str">
        <f t="shared" si="5"/>
        <v>2. high income &amp; low spend (high potential)</v>
      </c>
    </row>
    <row r="173" spans="1:11" x14ac:dyDescent="0.2">
      <c r="A173">
        <v>172</v>
      </c>
      <c r="B173" t="s">
        <v>11</v>
      </c>
      <c r="C173">
        <v>28</v>
      </c>
      <c r="D173" t="s">
        <v>18</v>
      </c>
      <c r="E173">
        <v>43.5</v>
      </c>
      <c r="F173">
        <v>850</v>
      </c>
      <c r="G173">
        <v>6</v>
      </c>
      <c r="H173" t="s">
        <v>14</v>
      </c>
      <c r="I173">
        <v>87</v>
      </c>
      <c r="J173">
        <v>75</v>
      </c>
      <c r="K173" t="str">
        <f t="shared" si="5"/>
        <v>1. VIP / high income &amp; high spend (main target)</v>
      </c>
    </row>
    <row r="174" spans="1:11" x14ac:dyDescent="0.2">
      <c r="A174">
        <v>173</v>
      </c>
      <c r="B174" t="s">
        <v>11</v>
      </c>
      <c r="C174">
        <v>36</v>
      </c>
      <c r="D174" t="s">
        <v>21</v>
      </c>
      <c r="E174">
        <v>81.2</v>
      </c>
      <c r="F174">
        <v>850</v>
      </c>
      <c r="G174">
        <v>4</v>
      </c>
      <c r="H174" t="s">
        <v>22</v>
      </c>
      <c r="I174">
        <v>87</v>
      </c>
      <c r="J174">
        <v>10</v>
      </c>
      <c r="K174" t="str">
        <f t="shared" si="5"/>
        <v>2. high income &amp; low spend (high potential)</v>
      </c>
    </row>
    <row r="175" spans="1:11" x14ac:dyDescent="0.2">
      <c r="A175">
        <v>174</v>
      </c>
      <c r="B175" t="s">
        <v>11</v>
      </c>
      <c r="C175">
        <v>36</v>
      </c>
      <c r="D175" t="s">
        <v>21</v>
      </c>
      <c r="E175">
        <v>33.64</v>
      </c>
      <c r="F175">
        <v>850</v>
      </c>
      <c r="G175">
        <v>8</v>
      </c>
      <c r="H175" t="s">
        <v>14</v>
      </c>
      <c r="I175">
        <v>87</v>
      </c>
      <c r="J175">
        <v>92</v>
      </c>
      <c r="K175" t="str">
        <f t="shared" si="5"/>
        <v>1. VIP / high income &amp; high spend (main target)</v>
      </c>
    </row>
    <row r="176" spans="1:11" x14ac:dyDescent="0.2">
      <c r="A176">
        <v>175</v>
      </c>
      <c r="B176" t="s">
        <v>16</v>
      </c>
      <c r="C176">
        <v>52</v>
      </c>
      <c r="D176" t="s">
        <v>19</v>
      </c>
      <c r="E176">
        <v>80.37</v>
      </c>
      <c r="F176">
        <v>850</v>
      </c>
      <c r="G176">
        <v>5</v>
      </c>
      <c r="H176" t="s">
        <v>22</v>
      </c>
      <c r="I176">
        <v>88</v>
      </c>
      <c r="J176">
        <v>13</v>
      </c>
      <c r="K176" t="str">
        <f t="shared" si="5"/>
        <v>2. high income &amp; low spend (high potential)</v>
      </c>
    </row>
    <row r="177" spans="1:11" x14ac:dyDescent="0.2">
      <c r="A177">
        <v>176</v>
      </c>
      <c r="B177" t="s">
        <v>16</v>
      </c>
      <c r="C177">
        <v>30</v>
      </c>
      <c r="D177" t="s">
        <v>18</v>
      </c>
      <c r="E177">
        <v>37.549999999999997</v>
      </c>
      <c r="F177">
        <v>850</v>
      </c>
      <c r="G177">
        <v>7</v>
      </c>
      <c r="H177" t="s">
        <v>14</v>
      </c>
      <c r="I177">
        <v>88</v>
      </c>
      <c r="J177">
        <v>86</v>
      </c>
      <c r="K177" t="str">
        <f t="shared" si="5"/>
        <v>1. VIP / high income &amp; high spend (main target)</v>
      </c>
    </row>
    <row r="178" spans="1:11" x14ac:dyDescent="0.2">
      <c r="A178">
        <v>177</v>
      </c>
      <c r="B178" t="s">
        <v>11</v>
      </c>
      <c r="C178">
        <v>58</v>
      </c>
      <c r="D178" t="s">
        <v>19</v>
      </c>
      <c r="E178">
        <v>79.2</v>
      </c>
      <c r="F178">
        <v>850</v>
      </c>
      <c r="G178">
        <v>6</v>
      </c>
      <c r="H178" t="s">
        <v>22</v>
      </c>
      <c r="I178">
        <v>88</v>
      </c>
      <c r="J178">
        <v>15</v>
      </c>
      <c r="K178" t="str">
        <f t="shared" si="5"/>
        <v>2. high income &amp; low spend (high potential)</v>
      </c>
    </row>
    <row r="179" spans="1:11" x14ac:dyDescent="0.2">
      <c r="A179">
        <v>178</v>
      </c>
      <c r="B179" t="s">
        <v>11</v>
      </c>
      <c r="C179">
        <v>27</v>
      </c>
      <c r="D179" t="s">
        <v>18</v>
      </c>
      <c r="E179">
        <v>47.52</v>
      </c>
      <c r="F179">
        <v>850</v>
      </c>
      <c r="G179">
        <v>6</v>
      </c>
      <c r="H179" t="s">
        <v>23</v>
      </c>
      <c r="I179">
        <v>88</v>
      </c>
      <c r="J179">
        <v>69</v>
      </c>
      <c r="K179" t="str">
        <f t="shared" si="5"/>
        <v>1. VIP / high income &amp; high spend (main target)</v>
      </c>
    </row>
    <row r="180" spans="1:11" x14ac:dyDescent="0.2">
      <c r="A180">
        <v>179</v>
      </c>
      <c r="B180" t="s">
        <v>11</v>
      </c>
      <c r="C180">
        <v>59</v>
      </c>
      <c r="D180" t="s">
        <v>19</v>
      </c>
      <c r="E180">
        <v>84.32</v>
      </c>
      <c r="F180">
        <v>850</v>
      </c>
      <c r="G180">
        <v>6</v>
      </c>
      <c r="H180" t="s">
        <v>22</v>
      </c>
      <c r="I180">
        <v>93</v>
      </c>
      <c r="J180">
        <v>14</v>
      </c>
      <c r="K180" t="str">
        <f t="shared" si="5"/>
        <v>2. high income &amp; low spend (high potential)</v>
      </c>
    </row>
    <row r="181" spans="1:11" x14ac:dyDescent="0.2">
      <c r="A181">
        <v>180</v>
      </c>
      <c r="B181" t="s">
        <v>11</v>
      </c>
      <c r="C181">
        <v>35</v>
      </c>
      <c r="D181" t="s">
        <v>18</v>
      </c>
      <c r="E181">
        <v>37.200000000000003</v>
      </c>
      <c r="F181">
        <v>850</v>
      </c>
      <c r="G181">
        <v>8</v>
      </c>
      <c r="H181" t="s">
        <v>14</v>
      </c>
      <c r="I181">
        <v>93</v>
      </c>
      <c r="J181">
        <v>90</v>
      </c>
      <c r="K181" t="str">
        <f t="shared" si="5"/>
        <v>1. VIP / high income &amp; high spend (main target)</v>
      </c>
    </row>
    <row r="182" spans="1:11" x14ac:dyDescent="0.2">
      <c r="A182">
        <v>181</v>
      </c>
      <c r="B182" t="s">
        <v>16</v>
      </c>
      <c r="C182">
        <v>37</v>
      </c>
      <c r="D182" t="s">
        <v>21</v>
      </c>
      <c r="E182">
        <v>76.31</v>
      </c>
      <c r="F182">
        <v>850</v>
      </c>
      <c r="G182">
        <v>5</v>
      </c>
      <c r="H182" t="s">
        <v>22</v>
      </c>
      <c r="I182">
        <v>97</v>
      </c>
      <c r="J182">
        <v>32</v>
      </c>
      <c r="K182" t="str">
        <f t="shared" si="5"/>
        <v>2. high income &amp; low spend (high potential)</v>
      </c>
    </row>
    <row r="183" spans="1:11" x14ac:dyDescent="0.2">
      <c r="A183">
        <v>182</v>
      </c>
      <c r="B183" t="s">
        <v>16</v>
      </c>
      <c r="C183">
        <v>32</v>
      </c>
      <c r="D183" t="s">
        <v>18</v>
      </c>
      <c r="E183">
        <v>41.39</v>
      </c>
      <c r="F183">
        <v>850</v>
      </c>
      <c r="G183">
        <v>7</v>
      </c>
      <c r="H183" t="s">
        <v>14</v>
      </c>
      <c r="I183">
        <v>97</v>
      </c>
      <c r="J183">
        <v>86</v>
      </c>
      <c r="K183" t="str">
        <f t="shared" si="5"/>
        <v>1. VIP / high income &amp; high spend (main target)</v>
      </c>
    </row>
    <row r="184" spans="1:11" x14ac:dyDescent="0.2">
      <c r="A184">
        <v>183</v>
      </c>
      <c r="B184" t="s">
        <v>11</v>
      </c>
      <c r="C184">
        <v>46</v>
      </c>
      <c r="D184" t="s">
        <v>21</v>
      </c>
      <c r="E184">
        <v>88.2</v>
      </c>
      <c r="F184">
        <v>850</v>
      </c>
      <c r="G184">
        <v>5</v>
      </c>
      <c r="H184" t="s">
        <v>22</v>
      </c>
      <c r="I184">
        <v>98</v>
      </c>
      <c r="J184">
        <v>15</v>
      </c>
      <c r="K184" t="str">
        <f t="shared" si="5"/>
        <v>2. high income &amp; low spend (high potential)</v>
      </c>
    </row>
    <row r="185" spans="1:11" x14ac:dyDescent="0.2">
      <c r="A185">
        <v>184</v>
      </c>
      <c r="B185" t="s">
        <v>16</v>
      </c>
      <c r="C185">
        <v>29</v>
      </c>
      <c r="D185" t="s">
        <v>18</v>
      </c>
      <c r="E185">
        <v>40.51</v>
      </c>
      <c r="F185">
        <v>850</v>
      </c>
      <c r="G185">
        <v>7</v>
      </c>
      <c r="H185" t="s">
        <v>14</v>
      </c>
      <c r="I185">
        <v>98</v>
      </c>
      <c r="J185">
        <v>88</v>
      </c>
      <c r="K185" t="str">
        <f t="shared" si="5"/>
        <v>1. VIP / high income &amp; high spend (main target)</v>
      </c>
    </row>
    <row r="186" spans="1:11" x14ac:dyDescent="0.2">
      <c r="A186">
        <v>185</v>
      </c>
      <c r="B186" t="s">
        <v>16</v>
      </c>
      <c r="C186">
        <v>41</v>
      </c>
      <c r="D186" t="s">
        <v>21</v>
      </c>
      <c r="E186">
        <v>73.260000000000005</v>
      </c>
      <c r="F186">
        <v>850</v>
      </c>
      <c r="G186">
        <v>6</v>
      </c>
      <c r="H186" t="s">
        <v>22</v>
      </c>
      <c r="I186">
        <v>99</v>
      </c>
      <c r="J186">
        <v>39</v>
      </c>
      <c r="K186" t="str">
        <f t="shared" si="5"/>
        <v>2. high income &amp; low spend (high potential)</v>
      </c>
    </row>
    <row r="187" spans="1:11" x14ac:dyDescent="0.2">
      <c r="A187">
        <v>186</v>
      </c>
      <c r="B187" t="s">
        <v>11</v>
      </c>
      <c r="C187">
        <v>30</v>
      </c>
      <c r="D187" t="s">
        <v>18</v>
      </c>
      <c r="E187">
        <v>34.979999999999997</v>
      </c>
      <c r="F187">
        <v>850</v>
      </c>
      <c r="G187">
        <v>7</v>
      </c>
      <c r="H187" t="s">
        <v>14</v>
      </c>
      <c r="I187">
        <v>99</v>
      </c>
      <c r="J187">
        <v>97</v>
      </c>
      <c r="K187" t="str">
        <f t="shared" si="5"/>
        <v>1. VIP / high income &amp; high spend (main target)</v>
      </c>
    </row>
    <row r="188" spans="1:11" x14ac:dyDescent="0.2">
      <c r="A188">
        <v>187</v>
      </c>
      <c r="B188" t="s">
        <v>16</v>
      </c>
      <c r="C188">
        <v>54</v>
      </c>
      <c r="D188" t="s">
        <v>19</v>
      </c>
      <c r="E188">
        <v>84.84</v>
      </c>
      <c r="F188">
        <v>850</v>
      </c>
      <c r="G188">
        <v>6</v>
      </c>
      <c r="H188" t="s">
        <v>22</v>
      </c>
      <c r="I188">
        <v>101</v>
      </c>
      <c r="J188">
        <v>24</v>
      </c>
      <c r="K188" t="str">
        <f t="shared" si="5"/>
        <v>2. high income &amp; low spend (high potential)</v>
      </c>
    </row>
    <row r="189" spans="1:11" x14ac:dyDescent="0.2">
      <c r="A189">
        <v>188</v>
      </c>
      <c r="B189" t="s">
        <v>11</v>
      </c>
      <c r="C189">
        <v>28</v>
      </c>
      <c r="D189" t="s">
        <v>18</v>
      </c>
      <c r="E189">
        <v>55.21</v>
      </c>
      <c r="F189">
        <v>850</v>
      </c>
      <c r="G189">
        <v>6</v>
      </c>
      <c r="H189" t="s">
        <v>23</v>
      </c>
      <c r="I189">
        <v>101</v>
      </c>
      <c r="J189">
        <v>68</v>
      </c>
      <c r="K189" t="str">
        <f t="shared" si="5"/>
        <v>1. VIP / high income &amp; high spend (main target)</v>
      </c>
    </row>
    <row r="190" spans="1:11" x14ac:dyDescent="0.2">
      <c r="A190">
        <v>189</v>
      </c>
      <c r="B190" t="s">
        <v>16</v>
      </c>
      <c r="C190">
        <v>41</v>
      </c>
      <c r="D190" t="s">
        <v>21</v>
      </c>
      <c r="E190">
        <v>91.33</v>
      </c>
      <c r="F190">
        <v>850</v>
      </c>
      <c r="G190">
        <v>4</v>
      </c>
      <c r="H190" t="s">
        <v>22</v>
      </c>
      <c r="I190">
        <v>103</v>
      </c>
      <c r="J190">
        <v>17</v>
      </c>
      <c r="K190" t="str">
        <f t="shared" si="5"/>
        <v>2. high income &amp; low spend (high potential)</v>
      </c>
    </row>
    <row r="191" spans="1:11" x14ac:dyDescent="0.2">
      <c r="A191">
        <v>190</v>
      </c>
      <c r="B191" t="s">
        <v>16</v>
      </c>
      <c r="C191">
        <v>36</v>
      </c>
      <c r="D191" t="s">
        <v>21</v>
      </c>
      <c r="E191">
        <v>44.63</v>
      </c>
      <c r="F191">
        <v>850</v>
      </c>
      <c r="G191">
        <v>7</v>
      </c>
      <c r="H191" t="s">
        <v>14</v>
      </c>
      <c r="I191">
        <v>103</v>
      </c>
      <c r="J191">
        <v>85</v>
      </c>
      <c r="K191" t="str">
        <f t="shared" si="5"/>
        <v>1. VIP / high income &amp; high spend (main target)</v>
      </c>
    </row>
    <row r="192" spans="1:11" x14ac:dyDescent="0.2">
      <c r="A192">
        <v>191</v>
      </c>
      <c r="B192" t="s">
        <v>16</v>
      </c>
      <c r="C192">
        <v>34</v>
      </c>
      <c r="D192" t="s">
        <v>18</v>
      </c>
      <c r="E192">
        <v>87.21</v>
      </c>
      <c r="F192">
        <v>850</v>
      </c>
      <c r="G192">
        <v>4</v>
      </c>
      <c r="H192" t="s">
        <v>23</v>
      </c>
      <c r="I192">
        <v>103</v>
      </c>
      <c r="J192">
        <v>23</v>
      </c>
      <c r="K192" t="str">
        <f t="shared" si="5"/>
        <v>2. high income &amp; low spend (high potential)</v>
      </c>
    </row>
    <row r="193" spans="1:11" x14ac:dyDescent="0.2">
      <c r="A193">
        <v>192</v>
      </c>
      <c r="B193" t="s">
        <v>16</v>
      </c>
      <c r="C193">
        <v>32</v>
      </c>
      <c r="D193" t="s">
        <v>18</v>
      </c>
      <c r="E193">
        <v>55.62</v>
      </c>
      <c r="F193">
        <v>850</v>
      </c>
      <c r="G193">
        <v>6</v>
      </c>
      <c r="H193" t="s">
        <v>23</v>
      </c>
      <c r="I193">
        <v>103</v>
      </c>
      <c r="J193">
        <v>69</v>
      </c>
      <c r="K193" t="str">
        <f t="shared" si="5"/>
        <v>1. VIP / high income &amp; high spend (main target)</v>
      </c>
    </row>
    <row r="194" spans="1:11" x14ac:dyDescent="0.2">
      <c r="A194">
        <v>193</v>
      </c>
      <c r="B194" t="s">
        <v>11</v>
      </c>
      <c r="C194">
        <v>33</v>
      </c>
      <c r="D194" t="s">
        <v>18</v>
      </c>
      <c r="E194">
        <v>106.97</v>
      </c>
      <c r="F194">
        <v>850</v>
      </c>
      <c r="G194">
        <v>3</v>
      </c>
      <c r="H194" t="s">
        <v>23</v>
      </c>
      <c r="I194">
        <v>113</v>
      </c>
      <c r="J194">
        <v>8</v>
      </c>
      <c r="K194" t="str">
        <f t="shared" ref="K194:K225" si="6">IF(AND(I194&gt;=$N$3,J194&gt;=$N$4), "1. VIP / high income &amp; high spend (main target)", IF(AND(I194&gt;=$N$3,J194&lt;$N$4), "2. high income &amp; low spend (high potential)", IF(AND(I194&lt;$N$3,J194&gt;=$N$4), "3. low income &amp; high spend (regular customer/shopper)", "4. low income &amp; low spend (economy class)")))</f>
        <v>2. high income &amp; low spend (high potential)</v>
      </c>
    </row>
    <row r="195" spans="1:11" x14ac:dyDescent="0.2">
      <c r="A195">
        <v>194</v>
      </c>
      <c r="B195" t="s">
        <v>16</v>
      </c>
      <c r="C195">
        <v>38</v>
      </c>
      <c r="D195" t="s">
        <v>21</v>
      </c>
      <c r="E195">
        <v>44.45</v>
      </c>
      <c r="F195">
        <v>850</v>
      </c>
      <c r="G195">
        <v>8</v>
      </c>
      <c r="H195" t="s">
        <v>14</v>
      </c>
      <c r="I195">
        <v>113</v>
      </c>
      <c r="J195">
        <v>91</v>
      </c>
      <c r="K195" t="str">
        <f t="shared" si="6"/>
        <v>1. VIP / high income &amp; high spend (main target)</v>
      </c>
    </row>
    <row r="196" spans="1:11" x14ac:dyDescent="0.2">
      <c r="A196">
        <v>195</v>
      </c>
      <c r="B196" t="s">
        <v>16</v>
      </c>
      <c r="C196">
        <v>47</v>
      </c>
      <c r="D196" t="s">
        <v>21</v>
      </c>
      <c r="E196">
        <v>107.2</v>
      </c>
      <c r="F196">
        <v>850</v>
      </c>
      <c r="G196">
        <v>5</v>
      </c>
      <c r="H196" t="s">
        <v>22</v>
      </c>
      <c r="I196">
        <v>120</v>
      </c>
      <c r="J196">
        <v>16</v>
      </c>
      <c r="K196" t="str">
        <f t="shared" si="6"/>
        <v>2. high income &amp; low spend (high potential)</v>
      </c>
    </row>
    <row r="197" spans="1:11" x14ac:dyDescent="0.2">
      <c r="A197">
        <v>196</v>
      </c>
      <c r="B197" t="s">
        <v>16</v>
      </c>
      <c r="C197">
        <v>35</v>
      </c>
      <c r="D197" t="s">
        <v>18</v>
      </c>
      <c r="E197">
        <v>56.8</v>
      </c>
      <c r="F197">
        <v>850</v>
      </c>
      <c r="G197">
        <v>7</v>
      </c>
      <c r="H197" t="s">
        <v>14</v>
      </c>
      <c r="I197">
        <v>120</v>
      </c>
      <c r="J197">
        <v>79</v>
      </c>
      <c r="K197" t="str">
        <f t="shared" si="6"/>
        <v>1. VIP / high income &amp; high spend (main target)</v>
      </c>
    </row>
    <row r="198" spans="1:11" x14ac:dyDescent="0.2">
      <c r="A198">
        <v>197</v>
      </c>
      <c r="B198" t="s">
        <v>16</v>
      </c>
      <c r="C198">
        <v>45</v>
      </c>
      <c r="D198" t="s">
        <v>21</v>
      </c>
      <c r="E198">
        <v>102.48</v>
      </c>
      <c r="F198">
        <v>850</v>
      </c>
      <c r="G198">
        <v>5</v>
      </c>
      <c r="H198" t="s">
        <v>22</v>
      </c>
      <c r="I198">
        <v>126</v>
      </c>
      <c r="J198">
        <v>28</v>
      </c>
      <c r="K198" t="str">
        <f t="shared" si="6"/>
        <v>2. high income &amp; low spend (high potential)</v>
      </c>
    </row>
    <row r="199" spans="1:11" x14ac:dyDescent="0.2">
      <c r="A199">
        <v>198</v>
      </c>
      <c r="B199" t="s">
        <v>11</v>
      </c>
      <c r="C199">
        <v>32</v>
      </c>
      <c r="D199" t="s">
        <v>18</v>
      </c>
      <c r="E199">
        <v>63.84</v>
      </c>
      <c r="F199">
        <v>850</v>
      </c>
      <c r="G199">
        <v>6</v>
      </c>
      <c r="H199" t="s">
        <v>14</v>
      </c>
      <c r="I199">
        <v>126</v>
      </c>
      <c r="J199">
        <v>74</v>
      </c>
      <c r="K199" t="str">
        <f t="shared" si="6"/>
        <v>1. VIP / high income &amp; high spend (main target)</v>
      </c>
    </row>
    <row r="200" spans="1:11" x14ac:dyDescent="0.2">
      <c r="A200">
        <v>199</v>
      </c>
      <c r="B200" t="s">
        <v>11</v>
      </c>
      <c r="C200">
        <v>32</v>
      </c>
      <c r="D200" t="s">
        <v>18</v>
      </c>
      <c r="E200">
        <v>120.56</v>
      </c>
      <c r="F200">
        <v>850</v>
      </c>
      <c r="G200">
        <v>4</v>
      </c>
      <c r="H200" t="s">
        <v>23</v>
      </c>
      <c r="I200">
        <v>137</v>
      </c>
      <c r="J200">
        <v>18</v>
      </c>
      <c r="K200" t="str">
        <f t="shared" si="6"/>
        <v>2. high income &amp; low spend (high potential)</v>
      </c>
    </row>
    <row r="201" spans="1:11" x14ac:dyDescent="0.2">
      <c r="A201">
        <v>200</v>
      </c>
      <c r="B201" t="s">
        <v>11</v>
      </c>
      <c r="C201">
        <v>30</v>
      </c>
      <c r="D201" t="s">
        <v>18</v>
      </c>
      <c r="E201">
        <v>61.19</v>
      </c>
      <c r="F201">
        <v>850</v>
      </c>
      <c r="G201">
        <v>7</v>
      </c>
      <c r="H201" t="s">
        <v>14</v>
      </c>
      <c r="I201">
        <v>137</v>
      </c>
      <c r="J201">
        <v>83</v>
      </c>
      <c r="K201" t="str">
        <f t="shared" si="6"/>
        <v>1. VIP / high income &amp; high spend (main target)</v>
      </c>
    </row>
  </sheetData>
  <autoFilter ref="A1:N201" xr:uid="{7987BADA-E664-8A4D-8B5B-C4C3F8689F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Summary</vt:lpstr>
      <vt:lpstr>Segment_Customer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Yanika Benno</dc:creator>
  <cp:lastModifiedBy>Yanika Benno</cp:lastModifiedBy>
  <dcterms:created xsi:type="dcterms:W3CDTF">2026-10-25T08:09:55Z</dcterms:created>
  <dcterms:modified xsi:type="dcterms:W3CDTF">2026-10-25T08:26:19Z</dcterms:modified>
</cp:coreProperties>
</file>